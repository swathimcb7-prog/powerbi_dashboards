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9880541B3A02AA4A/Documents/"/>
    </mc:Choice>
  </mc:AlternateContent>
  <xr:revisionPtr revIDLastSave="2618" documentId="8_{623C10DA-85D7-4F93-B93C-C540B4C0DEA1}" xr6:coauthVersionLast="47" xr6:coauthVersionMax="47" xr10:uidLastSave="{5E86C4E6-ECA5-4079-A90D-7487B5DF0885}"/>
  <bookViews>
    <workbookView xWindow="-108" yWindow="-108" windowWidth="23256" windowHeight="12456" firstSheet="3" activeTab="9" xr2:uid="{9E417982-63A8-416A-8BF8-FDE86D73A287}"/>
  </bookViews>
  <sheets>
    <sheet name="sales rep" sheetId="2" r:id="rId1"/>
    <sheet name="profit trend" sheetId="5" r:id="rId2"/>
    <sheet name="top products" sheetId="6" r:id="rId3"/>
    <sheet name="payment mode" sheetId="7" r:id="rId4"/>
    <sheet name="rating" sheetId="8" r:id="rId5"/>
    <sheet name="customers" sheetId="9" r:id="rId6"/>
    <sheet name="revenue" sheetId="10" r:id="rId7"/>
    <sheet name="count customers" sheetId="11" r:id="rId8"/>
    <sheet name="Sheet1" sheetId="1" r:id="rId9"/>
    <sheet name="Dashboard" sheetId="4" r:id="rId10"/>
  </sheets>
  <definedNames>
    <definedName name="Slicer_Sales_Rep">#N/A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<sst xmlns="http://schemas.openxmlformats.org/spreadsheetml/2006/main" count="435" uniqueCount="164">
  <si>
    <t>Order ID</t>
  </si>
  <si>
    <t>Order Date</t>
  </si>
  <si>
    <t>Sales Rep</t>
  </si>
  <si>
    <t>Customer Name</t>
  </si>
  <si>
    <t>City</t>
  </si>
  <si>
    <t>Product</t>
  </si>
  <si>
    <t>Category</t>
  </si>
  <si>
    <t>Qty</t>
  </si>
  <si>
    <t>Unit Price</t>
  </si>
  <si>
    <t>Sales Amount</t>
  </si>
  <si>
    <t>Profit</t>
  </si>
  <si>
    <t>Rating</t>
  </si>
  <si>
    <t>ORD1001</t>
  </si>
  <si>
    <t>Rahul</t>
  </si>
  <si>
    <t>Ananya</t>
  </si>
  <si>
    <t>Hyderabad</t>
  </si>
  <si>
    <t>Laptop</t>
  </si>
  <si>
    <t>Electronics</t>
  </si>
  <si>
    <t>UPI</t>
  </si>
  <si>
    <t>ORD1002</t>
  </si>
  <si>
    <t>Priya</t>
  </si>
  <si>
    <t>Rohan</t>
  </si>
  <si>
    <t>Bangalore</t>
  </si>
  <si>
    <t>Mobile</t>
  </si>
  <si>
    <t>Card</t>
  </si>
  <si>
    <t>ORD1003</t>
  </si>
  <si>
    <t>Amit</t>
  </si>
  <si>
    <t>Sneha</t>
  </si>
  <si>
    <t>Chennai</t>
  </si>
  <si>
    <t>Printer</t>
  </si>
  <si>
    <t>Office</t>
  </si>
  <si>
    <t>Cash</t>
  </si>
  <si>
    <t>ORD1004</t>
  </si>
  <si>
    <t>Neha</t>
  </si>
  <si>
    <t>Vikram</t>
  </si>
  <si>
    <t>Pune</t>
  </si>
  <si>
    <t>Keyboard</t>
  </si>
  <si>
    <t>Accessories</t>
  </si>
  <si>
    <t>ORD1005</t>
  </si>
  <si>
    <t>Kiran</t>
  </si>
  <si>
    <t>Asha</t>
  </si>
  <si>
    <t>Delhi</t>
  </si>
  <si>
    <t>Monitor</t>
  </si>
  <si>
    <t>ORD1006</t>
  </si>
  <si>
    <t>Ajay</t>
  </si>
  <si>
    <t>Mumbai</t>
  </si>
  <si>
    <t>Mouse</t>
  </si>
  <si>
    <t>ORD1007</t>
  </si>
  <si>
    <t>Divya</t>
  </si>
  <si>
    <t>Tablet</t>
  </si>
  <si>
    <t>ORD1008</t>
  </si>
  <si>
    <t>Vizag</t>
  </si>
  <si>
    <t>Chair</t>
  </si>
  <si>
    <t>Furniture</t>
  </si>
  <si>
    <t>ORD1009</t>
  </si>
  <si>
    <t>Suresh</t>
  </si>
  <si>
    <t>Desk</t>
  </si>
  <si>
    <t>Net Banking</t>
  </si>
  <si>
    <t>ORD1010</t>
  </si>
  <si>
    <t>Pooja</t>
  </si>
  <si>
    <t>Webcam</t>
  </si>
  <si>
    <t>ORD1011</t>
  </si>
  <si>
    <t>Manoj</t>
  </si>
  <si>
    <t>SSD</t>
  </si>
  <si>
    <t>ORD1012</t>
  </si>
  <si>
    <t>Kavya</t>
  </si>
  <si>
    <t>Router</t>
  </si>
  <si>
    <t>Networking</t>
  </si>
  <si>
    <t>ORD1013</t>
  </si>
  <si>
    <t>Harsha</t>
  </si>
  <si>
    <t>Speaker</t>
  </si>
  <si>
    <t>ORD1014</t>
  </si>
  <si>
    <t>Lakshmi</t>
  </si>
  <si>
    <t>Headphones</t>
  </si>
  <si>
    <t>ORD1015</t>
  </si>
  <si>
    <t>Nikhil</t>
  </si>
  <si>
    <t>Smart Watch</t>
  </si>
  <si>
    <t>ORD1016</t>
  </si>
  <si>
    <t>Arjun</t>
  </si>
  <si>
    <t>EMI</t>
  </si>
  <si>
    <t>ORD1017</t>
  </si>
  <si>
    <t>Meghana</t>
  </si>
  <si>
    <t>Pen Drive</t>
  </si>
  <si>
    <t>ORD1018</t>
  </si>
  <si>
    <t>Deepak</t>
  </si>
  <si>
    <t>ORD1019</t>
  </si>
  <si>
    <t>Sandeep</t>
  </si>
  <si>
    <t>Projector</t>
  </si>
  <si>
    <t>ORD1020</t>
  </si>
  <si>
    <t>Bhavya</t>
  </si>
  <si>
    <t>Scanner</t>
  </si>
  <si>
    <t>ORD1021</t>
  </si>
  <si>
    <t>Ravi</t>
  </si>
  <si>
    <t>ORD1022</t>
  </si>
  <si>
    <t>Geetha</t>
  </si>
  <si>
    <t>ORD1023</t>
  </si>
  <si>
    <t>Vinod</t>
  </si>
  <si>
    <t>ORD1024</t>
  </si>
  <si>
    <t>Sruthi</t>
  </si>
  <si>
    <t>ORD1025</t>
  </si>
  <si>
    <t>Mahesh</t>
  </si>
  <si>
    <t>ORD1026</t>
  </si>
  <si>
    <t>Jyothi</t>
  </si>
  <si>
    <t>ORD1027</t>
  </si>
  <si>
    <t>Keerthi</t>
  </si>
  <si>
    <t>ORD1028</t>
  </si>
  <si>
    <t>Suman</t>
  </si>
  <si>
    <t>ORD1029</t>
  </si>
  <si>
    <t>Chandu</t>
  </si>
  <si>
    <t>ORD1030</t>
  </si>
  <si>
    <t>Priyanka</t>
  </si>
  <si>
    <t>ORD1031</t>
  </si>
  <si>
    <t>Naveen</t>
  </si>
  <si>
    <t>ORD1032</t>
  </si>
  <si>
    <t>Rekha</t>
  </si>
  <si>
    <t>ORD1033</t>
  </si>
  <si>
    <t>Teja</t>
  </si>
  <si>
    <t>ORD1034</t>
  </si>
  <si>
    <t>Akhil</t>
  </si>
  <si>
    <t>ORD1035</t>
  </si>
  <si>
    <t>Sai</t>
  </si>
  <si>
    <t>ORD1036</t>
  </si>
  <si>
    <t>Pavan</t>
  </si>
  <si>
    <t>ORD1037</t>
  </si>
  <si>
    <t>Bhanu</t>
  </si>
  <si>
    <t>ORD1038</t>
  </si>
  <si>
    <t>Ramya</t>
  </si>
  <si>
    <t>ORD1039</t>
  </si>
  <si>
    <t>Ashok</t>
  </si>
  <si>
    <t>ORD1040</t>
  </si>
  <si>
    <t>Sindhu</t>
  </si>
  <si>
    <t>ORD1041</t>
  </si>
  <si>
    <t>Venu</t>
  </si>
  <si>
    <t>ORD1042</t>
  </si>
  <si>
    <t>Lalitha</t>
  </si>
  <si>
    <t>ORD1043</t>
  </si>
  <si>
    <t>Ganesh</t>
  </si>
  <si>
    <t>ORD1044</t>
  </si>
  <si>
    <t>Sunil</t>
  </si>
  <si>
    <t>ORD1045</t>
  </si>
  <si>
    <t>Madhu</t>
  </si>
  <si>
    <t>ORD1046</t>
  </si>
  <si>
    <t>Rakesh</t>
  </si>
  <si>
    <t>ORD1047</t>
  </si>
  <si>
    <t>Shilpa</t>
  </si>
  <si>
    <t>ORD1048</t>
  </si>
  <si>
    <t>Nandini</t>
  </si>
  <si>
    <t>ORD1049</t>
  </si>
  <si>
    <t>Prasad</t>
  </si>
  <si>
    <t>ORD1050</t>
  </si>
  <si>
    <t>Hema</t>
  </si>
  <si>
    <t>Sum of Profit</t>
  </si>
  <si>
    <t>Payment Modes</t>
  </si>
  <si>
    <t>Sum of Sales Amount</t>
  </si>
  <si>
    <t>Count of Category</t>
  </si>
  <si>
    <t>Average of Rating</t>
  </si>
  <si>
    <t xml:space="preserve">                                                                                                                       Sales Performance Dashboard</t>
  </si>
  <si>
    <t xml:space="preserve">                  </t>
  </si>
  <si>
    <t xml:space="preserve">                                                                              </t>
  </si>
  <si>
    <t xml:space="preserve">                                                                                                         </t>
  </si>
  <si>
    <t>Row Labels</t>
  </si>
  <si>
    <t xml:space="preserve">                                                                                                       </t>
  </si>
  <si>
    <t>Count of Order ID</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</si>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</sst>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5C]#,##0.00"/>
    <numFmt numFmtId="165" formatCode="0.0"/>
    <numFmt numFmtId="166" formatCode="[$$-45C]#,##0.0"/>
  </numFmts>
  <fonts count="3" x14ac:knownFonts="1">
    <font>
      <sz val="11"/>
      <color theme="1"/>
      <name val="Calibri"/>
      <family val="2"/>
      <scheme val="minor"/>
    </font>
    <font>
      <b/>
      <sz val="11"/>
      <color theme="1"/>
      <name val="Calibri"/>
      <family val="2"/>
      <scheme val="minor"/>
    </font>
    <font>
      <b/>
      <sz val="16"/>
      <color rgb="FFCC66FF"/>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14" fontId="1" fillId="0" borderId="0" xfId="0" applyNumberFormat="1"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xf>
    <xf numFmtId="164" fontId="0" fillId="0" borderId="0" xfId="0" applyNumberFormat="1"/>
    <xf numFmtId="0" fontId="0" fillId="0" borderId="0" xfId="0" pivotButton="1"/>
    <xf numFmtId="0" fontId="0" fillId="2" borderId="0" xfId="0" applyFill="1"/>
    <xf numFmtId="0" fontId="2" fillId="2" borderId="0" xfId="0" applyFont="1" applyFill="1"/>
    <xf numFmtId="0" fontId="0" fillId="0" borderId="0" xfId="0" applyAlignment="1">
      <alignment horizontal="left"/>
    </xf>
    <xf numFmtId="165" fontId="0" fillId="0" borderId="0" xfId="0" applyNumberFormat="1"/>
    <xf numFmtId="166" fontId="0" fillId="0" borderId="0" xfId="0" applyNumberFormat="1"/>
    <xf numFmtId="9" fontId="0" fillId="0" borderId="0" xfId="0" applyNumberFormat="1"/>
    <xf numFmtId="0" fontId="0" fillId="0" borderId="0" xfId="0" applyNumberFormat="1"/>
  </cellXfs>
  <cellStyles count="1">
    <cellStyle name="Normal" xfId="0" builtinId="0"/>
  </cellStyles>
  <dxfs count="16">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border>
        <left style="thin">
          <color rgb="FFCC66FF"/>
        </left>
      </border>
    </dxf>
  </dxfs>
  <tableStyles count="5" defaultTableStyle="TableStyleMedium2" defaultPivotStyle="PivotStyleLight16">
    <tableStyle name="Slicer Style 1" pivot="0" table="0" count="0" xr9:uid="{DEE10CFF-780C-467C-A4D3-686DC7DF328E}"/>
    <tableStyle name="Slicer Style 2" pivot="0" table="0" count="1" xr9:uid="{614E8661-3E48-4C99-9FB5-6021B0E2BD83}">
      <tableStyleElement type="wholeTable" dxfId="15"/>
    </tableStyle>
    <tableStyle name="Slicer Style 3" pivot="0" table="0" count="0" xr9:uid="{D52D5215-93CC-4181-A788-B90AA2DFB3F2}"/>
    <tableStyle name="Slicer Style 4" pivot="0" table="0" count="2" xr9:uid="{A3F0632A-C661-4900-82DB-EB69EAA7CD71}"/>
    <tableStyle name="Slicer Style 5" pivot="0" table="0" count="1" xr9:uid="{8A66F1FE-A749-4CA8-8E3F-A26B801BF33D}"/>
  </tableStyles>
  <colors>
    <mruColors>
      <color rgb="FFF63E58"/>
      <color rgb="FFCC66FF"/>
      <color rgb="FFB9EDFF"/>
      <color rgb="FFFF5B6B"/>
      <color rgb="FFE7F0F9"/>
      <color rgb="FFCCCCFF"/>
      <color rgb="FF9999FF"/>
    </mruColors>
  </colors>
  <extLst>
    <ext xmlns:x14="http://schemas.microsoft.com/office/spreadsheetml/2009/9/main" uri="{46F421CA-312F-682f-3DD2-61675219B42D}">
      <x14:dxfs count="3">
        <dxf>
          <fill>
            <patternFill>
              <bgColor rgb="FF00B0F0"/>
            </patternFill>
          </fill>
        </dxf>
        <dxf>
          <fill>
            <patternFill>
              <fgColor rgb="FFCC66FF"/>
            </patternFill>
          </fill>
        </dxf>
        <dxf>
          <fill>
            <patternFill>
              <fgColor rgb="FFB9EDFF"/>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2"/>
            <x14:slicerStyleElement type="selectedItemWithData" dxfId="1"/>
          </x14:slicerStyleElements>
        </x14:slicerStyle>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dashboard.xlsx]profit trend!profit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ysClr val="windowText" lastClr="000000"/>
                </a:solidFill>
              </a:rPr>
              <a:t>Profit</a:t>
            </a:r>
            <a:r>
              <a:rPr lang="en-IN" sz="1400" b="1" baseline="0">
                <a:solidFill>
                  <a:sysClr val="windowText" lastClr="000000"/>
                </a:solidFill>
              </a:rPr>
              <a:t> Trend</a:t>
            </a:r>
            <a:endParaRPr lang="en-IN" sz="1400" b="1">
              <a:solidFill>
                <a:sysClr val="windowText" lastClr="000000"/>
              </a:solidFill>
            </a:endParaRPr>
          </a:p>
        </c:rich>
      </c:tx>
      <c:layout>
        <c:manualLayout>
          <c:xMode val="edge"/>
          <c:yMode val="edge"/>
          <c:x val="1.8230820789406094E-2"/>
          <c:y val="3.6363636363636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66FF"/>
            </a:solidFill>
            <a:round/>
          </a:ln>
          <a:effectLst>
            <a:outerShdw blurRad="50800" dist="50800" dir="5400000" algn="ctr" rotWithShape="0">
              <a:schemeClr val="bg2"/>
            </a:outerShdw>
          </a:effectLst>
        </c:spPr>
        <c:marker>
          <c:symbol val="circle"/>
          <c:size val="5"/>
          <c:spPr>
            <a:solidFill>
              <a:srgbClr val="F63E58"/>
            </a:solidFill>
            <a:ln w="9525">
              <a:solidFill>
                <a:schemeClr val="accent1"/>
              </a:solidFill>
            </a:ln>
            <a:effectLst>
              <a:outerShdw blurRad="50800" dist="50800" dir="5400000" algn="ctr" rotWithShape="0">
                <a:schemeClr val="bg2"/>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trend'!$B$3</c:f>
              <c:strCache>
                <c:ptCount val="1"/>
                <c:pt idx="0">
                  <c:v>Total</c:v>
                </c:pt>
              </c:strCache>
            </c:strRef>
          </c:tx>
          <c:spPr>
            <a:ln w="28575" cap="rnd">
              <a:solidFill>
                <a:srgbClr val="CC66FF"/>
              </a:solidFill>
              <a:round/>
            </a:ln>
            <a:effectLst>
              <a:outerShdw blurRad="50800" dist="50800" dir="5400000" algn="ctr" rotWithShape="0">
                <a:schemeClr val="bg2"/>
              </a:outerShdw>
            </a:effectLst>
          </c:spPr>
          <c:marker>
            <c:symbol val="circle"/>
            <c:size val="5"/>
            <c:spPr>
              <a:solidFill>
                <a:srgbClr val="F63E58"/>
              </a:solidFill>
              <a:ln w="9525">
                <a:solidFill>
                  <a:schemeClr val="accent1"/>
                </a:solidFill>
              </a:ln>
              <a:effectLst>
                <a:outerShdw blurRad="50800" dist="50800" dir="5400000" algn="ctr" rotWithShape="0">
                  <a:schemeClr val="bg2"/>
                </a:outerShdw>
              </a:effectLst>
            </c:spPr>
          </c:marker>
          <c:cat>
            <c:strRef>
              <c:f>'profit trend'!$A$4:$A$10</c:f>
              <c:strCache>
                <c:ptCount val="7"/>
                <c:pt idx="0">
                  <c:v>Bangalore</c:v>
                </c:pt>
                <c:pt idx="1">
                  <c:v>Chennai</c:v>
                </c:pt>
                <c:pt idx="2">
                  <c:v>Delhi</c:v>
                </c:pt>
                <c:pt idx="3">
                  <c:v>Hyderabad</c:v>
                </c:pt>
                <c:pt idx="4">
                  <c:v>Mumbai</c:v>
                </c:pt>
                <c:pt idx="5">
                  <c:v>Pune</c:v>
                </c:pt>
                <c:pt idx="6">
                  <c:v>Vizag</c:v>
                </c:pt>
              </c:strCache>
            </c:strRef>
          </c:cat>
          <c:val>
            <c:numRef>
              <c:f>'profit trend'!$B$4:$B$10</c:f>
              <c:numCache>
                <c:formatCode>General</c:formatCode>
                <c:ptCount val="7"/>
                <c:pt idx="0">
                  <c:v>850</c:v>
                </c:pt>
                <c:pt idx="1">
                  <c:v>1800</c:v>
                </c:pt>
                <c:pt idx="2">
                  <c:v>9400</c:v>
                </c:pt>
                <c:pt idx="3">
                  <c:v>2900</c:v>
                </c:pt>
                <c:pt idx="4">
                  <c:v>1700</c:v>
                </c:pt>
                <c:pt idx="5">
                  <c:v>2500</c:v>
                </c:pt>
                <c:pt idx="6">
                  <c:v>6100</c:v>
                </c:pt>
              </c:numCache>
            </c:numRef>
          </c:val>
          <c:smooth val="0"/>
          <c:extLst>
            <c:ext xmlns:c16="http://schemas.microsoft.com/office/drawing/2014/chart" uri="{C3380CC4-5D6E-409C-BE32-E72D297353CC}">
              <c16:uniqueId val="{00000000-899E-4811-9E45-25AB5580169B}"/>
            </c:ext>
          </c:extLst>
        </c:ser>
        <c:dLbls>
          <c:showLegendKey val="0"/>
          <c:showVal val="0"/>
          <c:showCatName val="0"/>
          <c:showSerName val="0"/>
          <c:showPercent val="0"/>
          <c:showBubbleSize val="0"/>
        </c:dLbls>
        <c:marker val="1"/>
        <c:smooth val="0"/>
        <c:axId val="1680203951"/>
        <c:axId val="966974639"/>
      </c:lineChart>
      <c:catAx>
        <c:axId val="1680203951"/>
        <c:scaling>
          <c:orientation val="minMax"/>
        </c:scaling>
        <c:delete val="0"/>
        <c:axPos val="b"/>
        <c:numFmt formatCode="General" sourceLinked="1"/>
        <c:majorTickMark val="none"/>
        <c:minorTickMark val="none"/>
        <c:tickLblPos val="nextTo"/>
        <c:spPr>
          <a:noFill/>
          <a:ln w="9525" cap="flat" cmpd="sng" algn="ctr">
            <a:solidFill>
              <a:srgbClr val="B9EDFF"/>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74639"/>
        <c:crosses val="autoZero"/>
        <c:auto val="1"/>
        <c:lblAlgn val="ctr"/>
        <c:lblOffset val="100"/>
        <c:noMultiLvlLbl val="0"/>
      </c:catAx>
      <c:valAx>
        <c:axId val="96697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20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products!top products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Top</a:t>
            </a:r>
            <a:r>
              <a:rPr lang="en-IN" sz="1400" b="1" baseline="0"/>
              <a:t> 5 Products</a:t>
            </a:r>
            <a:endParaRPr lang="en-IN" sz="1400" b="1"/>
          </a:p>
        </c:rich>
      </c:tx>
      <c:layout>
        <c:manualLayout>
          <c:xMode val="edge"/>
          <c:yMode val="edge"/>
          <c:x val="2.5326525395726964E-2"/>
          <c:y val="3.3613445378151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products'!$B$3</c:f>
              <c:strCache>
                <c:ptCount val="1"/>
                <c:pt idx="0">
                  <c:v>Total</c:v>
                </c:pt>
              </c:strCache>
            </c:strRef>
          </c:tx>
          <c:spPr>
            <a:solidFill>
              <a:srgbClr val="CC66FF"/>
            </a:solidFill>
            <a:ln>
              <a:noFill/>
            </a:ln>
            <a:effectLst/>
          </c:spPr>
          <c:invertIfNegative val="0"/>
          <c:cat>
            <c:strRef>
              <c:f>'top products'!$A$4:$A$8</c:f>
              <c:strCache>
                <c:ptCount val="5"/>
                <c:pt idx="0">
                  <c:v>Printer</c:v>
                </c:pt>
                <c:pt idx="1">
                  <c:v>Chair</c:v>
                </c:pt>
                <c:pt idx="2">
                  <c:v>Smart Watch</c:v>
                </c:pt>
                <c:pt idx="3">
                  <c:v>Desk</c:v>
                </c:pt>
                <c:pt idx="4">
                  <c:v>Speaker</c:v>
                </c:pt>
              </c:strCache>
            </c:strRef>
          </c:cat>
          <c:val>
            <c:numRef>
              <c:f>'top products'!$B$4:$B$8</c:f>
              <c:numCache>
                <c:formatCode>General</c:formatCode>
                <c:ptCount val="5"/>
                <c:pt idx="0">
                  <c:v>64600</c:v>
                </c:pt>
                <c:pt idx="1">
                  <c:v>48500</c:v>
                </c:pt>
                <c:pt idx="2">
                  <c:v>26400</c:v>
                </c:pt>
                <c:pt idx="3">
                  <c:v>18400</c:v>
                </c:pt>
                <c:pt idx="4">
                  <c:v>13600</c:v>
                </c:pt>
              </c:numCache>
            </c:numRef>
          </c:val>
          <c:extLst>
            <c:ext xmlns:c16="http://schemas.microsoft.com/office/drawing/2014/chart" uri="{C3380CC4-5D6E-409C-BE32-E72D297353CC}">
              <c16:uniqueId val="{00000000-36EE-4AB6-9D5B-D78F32337649}"/>
            </c:ext>
          </c:extLst>
        </c:ser>
        <c:dLbls>
          <c:showLegendKey val="0"/>
          <c:showVal val="0"/>
          <c:showCatName val="0"/>
          <c:showSerName val="0"/>
          <c:showPercent val="0"/>
          <c:showBubbleSize val="0"/>
        </c:dLbls>
        <c:gapWidth val="219"/>
        <c:overlap val="-27"/>
        <c:axId val="968321999"/>
        <c:axId val="343133647"/>
      </c:barChart>
      <c:catAx>
        <c:axId val="96832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133647"/>
        <c:crosses val="autoZero"/>
        <c:auto val="1"/>
        <c:lblAlgn val="ctr"/>
        <c:lblOffset val="100"/>
        <c:noMultiLvlLbl val="0"/>
      </c:catAx>
      <c:valAx>
        <c:axId val="343133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32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dashboard.xlsx]customers!customers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Valuable Customers</a:t>
            </a:r>
            <a:endParaRPr lang="en-IN" b="1"/>
          </a:p>
        </c:rich>
      </c:tx>
      <c:layout>
        <c:manualLayout>
          <c:xMode val="edge"/>
          <c:yMode val="edge"/>
          <c:x val="2.3929382839002838E-2"/>
          <c:y val="3.68324125230202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customers!$B$3</c:f>
              <c:strCache>
                <c:ptCount val="1"/>
                <c:pt idx="0">
                  <c:v>Total</c:v>
                </c:pt>
              </c:strCache>
            </c:strRef>
          </c:tx>
          <c:spPr>
            <a:solidFill>
              <a:srgbClr val="CC66FF"/>
            </a:solidFill>
            <a:ln>
              <a:noFill/>
            </a:ln>
            <a:effectLst/>
          </c:spPr>
          <c:invertIfNegative val="0"/>
          <c:cat>
            <c:strRef>
              <c:f>customers!$A$4:$A$8</c:f>
              <c:strCache>
                <c:ptCount val="5"/>
                <c:pt idx="0">
                  <c:v>Deepak</c:v>
                </c:pt>
                <c:pt idx="1">
                  <c:v>Ramya</c:v>
                </c:pt>
                <c:pt idx="2">
                  <c:v>Nandini</c:v>
                </c:pt>
                <c:pt idx="3">
                  <c:v>Suman</c:v>
                </c:pt>
                <c:pt idx="4">
                  <c:v>Teja</c:v>
                </c:pt>
              </c:strCache>
            </c:strRef>
          </c:cat>
          <c:val>
            <c:numRef>
              <c:f>customers!$B$4:$B$8</c:f>
              <c:numCache>
                <c:formatCode>General</c:formatCode>
                <c:ptCount val="5"/>
                <c:pt idx="0">
                  <c:v>3900</c:v>
                </c:pt>
                <c:pt idx="1">
                  <c:v>3900</c:v>
                </c:pt>
                <c:pt idx="2">
                  <c:v>3600</c:v>
                </c:pt>
                <c:pt idx="3">
                  <c:v>2900</c:v>
                </c:pt>
                <c:pt idx="4">
                  <c:v>2500</c:v>
                </c:pt>
              </c:numCache>
            </c:numRef>
          </c:val>
          <c:extLst>
            <c:ext xmlns:c16="http://schemas.microsoft.com/office/drawing/2014/chart" uri="{C3380CC4-5D6E-409C-BE32-E72D297353CC}">
              <c16:uniqueId val="{00000000-9DB3-46A0-8165-602BC3647604}"/>
            </c:ext>
          </c:extLst>
        </c:ser>
        <c:dLbls>
          <c:showLegendKey val="0"/>
          <c:showVal val="0"/>
          <c:showCatName val="0"/>
          <c:showSerName val="0"/>
          <c:showPercent val="0"/>
          <c:showBubbleSize val="0"/>
        </c:dLbls>
        <c:gapWidth val="182"/>
        <c:axId val="1966805679"/>
        <c:axId val="974652719"/>
      </c:barChart>
      <c:catAx>
        <c:axId val="196680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652719"/>
        <c:crosses val="autoZero"/>
        <c:auto val="1"/>
        <c:lblAlgn val="ctr"/>
        <c:lblOffset val="100"/>
        <c:noMultiLvlLbl val="0"/>
      </c:catAx>
      <c:valAx>
        <c:axId val="974652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80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28638">
            <a:srgbClr val="CC66FF"/>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dashboard.xlsx]rating!PivotTable6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Avg.Rating</a:t>
            </a:r>
          </a:p>
        </c:rich>
      </c:tx>
      <c:layout>
        <c:manualLayout>
          <c:xMode val="edge"/>
          <c:yMode val="edge"/>
          <c:x val="2.6033199983066618E-2"/>
          <c:y val="2.88850375505488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66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cked"/>
        <c:varyColors val="0"/>
        <c:ser>
          <c:idx val="0"/>
          <c:order val="0"/>
          <c:tx>
            <c:strRef>
              <c:f>rating!$B$3</c:f>
              <c:strCache>
                <c:ptCount val="1"/>
                <c:pt idx="0">
                  <c:v>Total</c:v>
                </c:pt>
              </c:strCache>
            </c:strRef>
          </c:tx>
          <c:spPr>
            <a:ln w="28575" cap="rnd">
              <a:solidFill>
                <a:srgbClr val="CC66FF"/>
              </a:solidFill>
              <a:round/>
            </a:ln>
            <a:effectLst/>
          </c:spPr>
          <c:marker>
            <c:symbol val="none"/>
          </c:marker>
          <c:cat>
            <c:strRef>
              <c:f>rating!$A$4:$A$9</c:f>
              <c:strCache>
                <c:ptCount val="6"/>
                <c:pt idx="0">
                  <c:v>Chair</c:v>
                </c:pt>
                <c:pt idx="1">
                  <c:v>Desk</c:v>
                </c:pt>
                <c:pt idx="2">
                  <c:v>Keyboard</c:v>
                </c:pt>
                <c:pt idx="3">
                  <c:v>Printer</c:v>
                </c:pt>
                <c:pt idx="4">
                  <c:v>Smart Watch</c:v>
                </c:pt>
                <c:pt idx="5">
                  <c:v>Speaker</c:v>
                </c:pt>
              </c:strCache>
            </c:strRef>
          </c:cat>
          <c:val>
            <c:numRef>
              <c:f>rating!$B$4:$B$9</c:f>
              <c:numCache>
                <c:formatCode>0.0</c:formatCode>
                <c:ptCount val="6"/>
                <c:pt idx="0">
                  <c:v>3</c:v>
                </c:pt>
                <c:pt idx="1">
                  <c:v>3</c:v>
                </c:pt>
                <c:pt idx="2">
                  <c:v>4</c:v>
                </c:pt>
                <c:pt idx="3">
                  <c:v>3.6666666666666665</c:v>
                </c:pt>
                <c:pt idx="4">
                  <c:v>5</c:v>
                </c:pt>
                <c:pt idx="5">
                  <c:v>4</c:v>
                </c:pt>
              </c:numCache>
            </c:numRef>
          </c:val>
          <c:smooth val="0"/>
          <c:extLst>
            <c:ext xmlns:c16="http://schemas.microsoft.com/office/drawing/2014/chart" uri="{C3380CC4-5D6E-409C-BE32-E72D297353CC}">
              <c16:uniqueId val="{00000000-6C3A-4908-A71F-947C590EDC3D}"/>
            </c:ext>
          </c:extLst>
        </c:ser>
        <c:dLbls>
          <c:showLegendKey val="0"/>
          <c:showVal val="0"/>
          <c:showCatName val="0"/>
          <c:showSerName val="0"/>
          <c:showPercent val="0"/>
          <c:showBubbleSize val="0"/>
        </c:dLbls>
        <c:smooth val="0"/>
        <c:axId val="823259007"/>
        <c:axId val="1100555791"/>
      </c:lineChart>
      <c:catAx>
        <c:axId val="82325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55791"/>
        <c:crosses val="autoZero"/>
        <c:auto val="1"/>
        <c:lblAlgn val="ctr"/>
        <c:lblOffset val="100"/>
        <c:noMultiLvlLbl val="0"/>
      </c:catAx>
      <c:valAx>
        <c:axId val="11005557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2590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dashboard.xlsx]count customers!count of customers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count</a:t>
            </a:r>
            <a:endParaRPr lang="en-US" b="1"/>
          </a:p>
        </c:rich>
      </c:tx>
      <c:layout>
        <c:manualLayout>
          <c:xMode val="edge"/>
          <c:yMode val="edge"/>
          <c:x val="2.5465936823686492E-2"/>
          <c:y val="3.1397174254317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customers'!$B$3</c:f>
              <c:strCache>
                <c:ptCount val="1"/>
                <c:pt idx="0">
                  <c:v>Total</c:v>
                </c:pt>
              </c:strCache>
            </c:strRef>
          </c:tx>
          <c:spPr>
            <a:solidFill>
              <a:srgbClr val="CC66FF"/>
            </a:solidFill>
            <a:ln>
              <a:noFill/>
            </a:ln>
            <a:effectLst/>
          </c:spPr>
          <c:invertIfNegative val="0"/>
          <c:cat>
            <c:strRef>
              <c:f>'count customers'!$A$4:$A$10</c:f>
              <c:strCache>
                <c:ptCount val="7"/>
                <c:pt idx="0">
                  <c:v>Bangalore</c:v>
                </c:pt>
                <c:pt idx="1">
                  <c:v>Chennai</c:v>
                </c:pt>
                <c:pt idx="2">
                  <c:v>Delhi</c:v>
                </c:pt>
                <c:pt idx="3">
                  <c:v>Hyderabad</c:v>
                </c:pt>
                <c:pt idx="4">
                  <c:v>Mumbai</c:v>
                </c:pt>
                <c:pt idx="5">
                  <c:v>Pune</c:v>
                </c:pt>
                <c:pt idx="6">
                  <c:v>Vizag</c:v>
                </c:pt>
              </c:strCache>
            </c:strRef>
          </c:cat>
          <c:val>
            <c:numRef>
              <c:f>'count customers'!$B$4:$B$10</c:f>
              <c:numCache>
                <c:formatCode>General</c:formatCode>
                <c:ptCount val="7"/>
                <c:pt idx="0">
                  <c:v>1</c:v>
                </c:pt>
                <c:pt idx="1">
                  <c:v>1</c:v>
                </c:pt>
                <c:pt idx="2">
                  <c:v>3</c:v>
                </c:pt>
                <c:pt idx="3">
                  <c:v>1</c:v>
                </c:pt>
                <c:pt idx="4">
                  <c:v>1</c:v>
                </c:pt>
                <c:pt idx="5">
                  <c:v>1</c:v>
                </c:pt>
                <c:pt idx="6">
                  <c:v>2</c:v>
                </c:pt>
              </c:numCache>
            </c:numRef>
          </c:val>
          <c:extLst>
            <c:ext xmlns:c16="http://schemas.microsoft.com/office/drawing/2014/chart" uri="{C3380CC4-5D6E-409C-BE32-E72D297353CC}">
              <c16:uniqueId val="{00000000-A5D2-4C09-817E-CD25B6C7CA6B}"/>
            </c:ext>
          </c:extLst>
        </c:ser>
        <c:dLbls>
          <c:showLegendKey val="0"/>
          <c:showVal val="0"/>
          <c:showCatName val="0"/>
          <c:showSerName val="0"/>
          <c:showPercent val="0"/>
          <c:showBubbleSize val="0"/>
        </c:dLbls>
        <c:gapWidth val="219"/>
        <c:overlap val="-27"/>
        <c:axId val="1913330159"/>
        <c:axId val="974773679"/>
      </c:barChart>
      <c:catAx>
        <c:axId val="19133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773679"/>
        <c:crosses val="autoZero"/>
        <c:auto val="1"/>
        <c:lblAlgn val="ctr"/>
        <c:lblOffset val="100"/>
        <c:noMultiLvlLbl val="0"/>
      </c:catAx>
      <c:valAx>
        <c:axId val="97477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33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dashboard.xlsx]payment mode!payment mode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Distribution</a:t>
            </a:r>
            <a:endParaRPr lang="en-US" b="1"/>
          </a:p>
        </c:rich>
      </c:tx>
      <c:layout>
        <c:manualLayout>
          <c:xMode val="edge"/>
          <c:yMode val="edge"/>
          <c:x val="2.1565006469999634E-2"/>
          <c:y val="1.49476831091180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FF5B6B"/>
          </a:solidFill>
          <a:ln w="19050">
            <a:solidFill>
              <a:schemeClr val="lt1"/>
            </a:solidFill>
          </a:ln>
          <a:effectLst/>
        </c:spPr>
      </c:pivotFmt>
      <c:pivotFmt>
        <c:idx val="4"/>
        <c:spPr>
          <a:solidFill>
            <a:srgbClr val="B9EDFF"/>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pivotFmt>
      <c:pivotFmt>
        <c:idx val="7"/>
        <c:spPr>
          <a:solidFill>
            <a:srgbClr val="FF5B6B"/>
          </a:solidFill>
          <a:ln w="19050">
            <a:solidFill>
              <a:schemeClr val="lt1"/>
            </a:solidFill>
          </a:ln>
          <a:effectLst/>
        </c:spPr>
      </c:pivotFmt>
      <c:pivotFmt>
        <c:idx val="8"/>
        <c:spPr>
          <a:solidFill>
            <a:srgbClr val="B9EDFF"/>
          </a:solidFill>
          <a:ln w="19050">
            <a:solidFill>
              <a:schemeClr val="lt1"/>
            </a:solidFill>
          </a:ln>
          <a:effectLst/>
        </c:spPr>
      </c:pivotFmt>
      <c:pivotFmt>
        <c:idx val="9"/>
        <c:spPr>
          <a:solidFill>
            <a:srgbClr val="FFC000"/>
          </a:solidFill>
          <a:ln w="19050">
            <a:solidFill>
              <a:schemeClr val="lt1"/>
            </a:solidFill>
          </a:ln>
          <a:effectLst/>
        </c:spPr>
      </c:pivotFmt>
      <c:pivotFmt>
        <c:idx val="10"/>
        <c:spPr>
          <a:solidFill>
            <a:schemeClr val="accent1"/>
          </a:solidFill>
          <a:ln w="19050">
            <a:solidFill>
              <a:srgbClr val="CC66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w="19050">
            <a:solidFill>
              <a:srgbClr val="CC66FF"/>
            </a:solidFill>
          </a:ln>
          <a:effectLst/>
        </c:spPr>
      </c:pivotFmt>
      <c:pivotFmt>
        <c:idx val="12"/>
        <c:spPr>
          <a:solidFill>
            <a:srgbClr val="FF5B6B"/>
          </a:solidFill>
          <a:ln w="19050">
            <a:solidFill>
              <a:srgbClr val="CC66FF"/>
            </a:solidFill>
          </a:ln>
          <a:effectLst/>
        </c:spPr>
      </c:pivotFmt>
      <c:pivotFmt>
        <c:idx val="13"/>
        <c:spPr>
          <a:solidFill>
            <a:srgbClr val="B9EDFF"/>
          </a:solidFill>
          <a:ln w="19050">
            <a:solidFill>
              <a:srgbClr val="CC66FF"/>
            </a:solidFill>
          </a:ln>
          <a:effectLst/>
        </c:spPr>
      </c:pivotFmt>
      <c:pivotFmt>
        <c:idx val="14"/>
        <c:spPr>
          <a:solidFill>
            <a:srgbClr val="FFC000"/>
          </a:solidFill>
          <a:ln w="19050">
            <a:solidFill>
              <a:srgbClr val="CC66FF"/>
            </a:solidFill>
          </a:ln>
          <a:effectLst/>
        </c:spPr>
      </c:pivotFmt>
      <c:pivotFmt>
        <c:idx val="15"/>
        <c:spPr>
          <a:solidFill>
            <a:schemeClr val="accent1"/>
          </a:solidFill>
          <a:ln w="19050">
            <a:solidFill>
              <a:srgbClr val="CC66FF"/>
            </a:solidFill>
          </a:ln>
          <a:effectLst/>
        </c:spPr>
      </c:pivotFmt>
    </c:pivotFmts>
    <c:plotArea>
      <c:layout>
        <c:manualLayout>
          <c:layoutTarget val="inner"/>
          <c:xMode val="edge"/>
          <c:yMode val="edge"/>
          <c:x val="0.24106754932395852"/>
          <c:y val="0.25101324056980917"/>
          <c:w val="0.52114368536831068"/>
          <c:h val="0.63667633651056776"/>
        </c:manualLayout>
      </c:layout>
      <c:pieChart>
        <c:varyColors val="1"/>
        <c:ser>
          <c:idx val="0"/>
          <c:order val="0"/>
          <c:tx>
            <c:strRef>
              <c:f>'payment mode'!$B$3</c:f>
              <c:strCache>
                <c:ptCount val="1"/>
                <c:pt idx="0">
                  <c:v>Total</c:v>
                </c:pt>
              </c:strCache>
            </c:strRef>
          </c:tx>
          <c:spPr>
            <a:ln>
              <a:solidFill>
                <a:srgbClr val="CC66FF"/>
              </a:solidFill>
            </a:ln>
          </c:spPr>
          <c:dPt>
            <c:idx val="0"/>
            <c:bubble3D val="0"/>
            <c:spPr>
              <a:solidFill>
                <a:srgbClr val="92D050"/>
              </a:solidFill>
              <a:ln w="19050">
                <a:solidFill>
                  <a:srgbClr val="CC66FF"/>
                </a:solidFill>
              </a:ln>
              <a:effectLst/>
            </c:spPr>
            <c:extLst>
              <c:ext xmlns:c16="http://schemas.microsoft.com/office/drawing/2014/chart" uri="{C3380CC4-5D6E-409C-BE32-E72D297353CC}">
                <c16:uniqueId val="{00000001-CEB0-4550-A7A8-92626E81DFC5}"/>
              </c:ext>
            </c:extLst>
          </c:dPt>
          <c:dPt>
            <c:idx val="1"/>
            <c:bubble3D val="0"/>
            <c:spPr>
              <a:solidFill>
                <a:srgbClr val="FF5B6B"/>
              </a:solidFill>
              <a:ln w="19050">
                <a:solidFill>
                  <a:srgbClr val="CC66FF"/>
                </a:solidFill>
              </a:ln>
              <a:effectLst/>
            </c:spPr>
            <c:extLst>
              <c:ext xmlns:c16="http://schemas.microsoft.com/office/drawing/2014/chart" uri="{C3380CC4-5D6E-409C-BE32-E72D297353CC}">
                <c16:uniqueId val="{00000003-CEB0-4550-A7A8-92626E81DFC5}"/>
              </c:ext>
            </c:extLst>
          </c:dPt>
          <c:dPt>
            <c:idx val="2"/>
            <c:bubble3D val="0"/>
            <c:spPr>
              <a:solidFill>
                <a:srgbClr val="B9EDFF"/>
              </a:solidFill>
              <a:ln w="19050">
                <a:solidFill>
                  <a:srgbClr val="CC66FF"/>
                </a:solidFill>
              </a:ln>
              <a:effectLst/>
            </c:spPr>
            <c:extLst>
              <c:ext xmlns:c16="http://schemas.microsoft.com/office/drawing/2014/chart" uri="{C3380CC4-5D6E-409C-BE32-E72D297353CC}">
                <c16:uniqueId val="{00000005-CEB0-4550-A7A8-92626E81DFC5}"/>
              </c:ext>
            </c:extLst>
          </c:dPt>
          <c:dPt>
            <c:idx val="3"/>
            <c:bubble3D val="0"/>
            <c:spPr>
              <a:solidFill>
                <a:schemeClr val="accent4"/>
              </a:solidFill>
              <a:ln w="19050">
                <a:solidFill>
                  <a:srgbClr val="CC66FF"/>
                </a:solidFill>
              </a:ln>
              <a:effectLst/>
            </c:spPr>
            <c:extLst>
              <c:ext xmlns:c16="http://schemas.microsoft.com/office/drawing/2014/chart" uri="{C3380CC4-5D6E-409C-BE32-E72D297353CC}">
                <c16:uniqueId val="{00000007-CEB0-4550-A7A8-92626E81DFC5}"/>
              </c:ext>
            </c:extLst>
          </c:dPt>
          <c:dPt>
            <c:idx val="4"/>
            <c:bubble3D val="0"/>
            <c:spPr>
              <a:solidFill>
                <a:srgbClr val="FFC000"/>
              </a:solidFill>
              <a:ln w="19050">
                <a:solidFill>
                  <a:srgbClr val="CC66FF"/>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mode'!$A$4:$A$8</c:f>
              <c:strCache>
                <c:ptCount val="5"/>
                <c:pt idx="0">
                  <c:v>Card</c:v>
                </c:pt>
                <c:pt idx="1">
                  <c:v>Cash</c:v>
                </c:pt>
                <c:pt idx="2">
                  <c:v>EMI</c:v>
                </c:pt>
                <c:pt idx="3">
                  <c:v>Net Banking</c:v>
                </c:pt>
                <c:pt idx="4">
                  <c:v>UPI</c:v>
                </c:pt>
              </c:strCache>
            </c:strRef>
          </c:cat>
          <c:val>
            <c:numRef>
              <c:f>'payment mode'!$B$4:$B$8</c:f>
              <c:numCache>
                <c:formatCode>0%</c:formatCode>
                <c:ptCount val="5"/>
                <c:pt idx="0">
                  <c:v>2</c:v>
                </c:pt>
                <c:pt idx="1">
                  <c:v>2</c:v>
                </c:pt>
                <c:pt idx="2">
                  <c:v>1</c:v>
                </c:pt>
                <c:pt idx="3">
                  <c:v>2</c:v>
                </c:pt>
                <c:pt idx="4">
                  <c:v>3</c:v>
                </c:pt>
              </c:numCache>
            </c:numRef>
          </c:val>
          <c:extLst>
            <c:ext xmlns:c16="http://schemas.microsoft.com/office/drawing/2014/chart" uri="{C3380CC4-5D6E-409C-BE32-E72D297353CC}">
              <c16:uniqueId val="{00000008-CEB0-4550-A7A8-92626E81DF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5.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4.xml"/><Relationship Id="rId2" Type="http://schemas.openxmlformats.org/officeDocument/2006/relationships/image" Target="../media/image4.svg"/><Relationship Id="rId16" Type="http://schemas.openxmlformats.org/officeDocument/2006/relationships/chart" Target="../charts/chart6.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3.xml"/><Relationship Id="rId5" Type="http://schemas.openxmlformats.org/officeDocument/2006/relationships/image" Target="../media/image7.png"/><Relationship Id="rId15" Type="http://schemas.openxmlformats.org/officeDocument/2006/relationships/image" Target="../media/image12.svg"/><Relationship Id="rId10" Type="http://schemas.openxmlformats.org/officeDocument/2006/relationships/chart" Target="../charts/chart2.xml"/><Relationship Id="rId4" Type="http://schemas.openxmlformats.org/officeDocument/2006/relationships/image" Target="../media/image6.svg"/><Relationship Id="rId9" Type="http://schemas.openxmlformats.org/officeDocument/2006/relationships/chart" Target="../charts/chart1.xml"/><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8</xdr:col>
      <xdr:colOff>304800</xdr:colOff>
      <xdr:row>13</xdr:row>
      <xdr:rowOff>0</xdr:rowOff>
    </xdr:to>
    <xdr:pic>
      <xdr:nvPicPr>
        <xdr:cNvPr id="7" name="Graphic 6" descr="Bar graph with upward trend with solid fill">
          <a:extLst>
            <a:ext uri="{FF2B5EF4-FFF2-40B4-BE49-F238E27FC236}">
              <a16:creationId xmlns:a16="http://schemas.microsoft.com/office/drawing/2014/main" id="{C1DC959A-ABE0-25D0-0770-D9FA7BD5C1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63540" y="146304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1</xdr:row>
      <xdr:rowOff>251460</xdr:rowOff>
    </xdr:from>
    <xdr:to>
      <xdr:col>2</xdr:col>
      <xdr:colOff>502920</xdr:colOff>
      <xdr:row>7</xdr:row>
      <xdr:rowOff>152400</xdr:rowOff>
    </xdr:to>
    <xdr:sp macro="" textlink="">
      <xdr:nvSpPr>
        <xdr:cNvPr id="2" name="Rectangle: Rounded Corners 1">
          <a:extLst>
            <a:ext uri="{FF2B5EF4-FFF2-40B4-BE49-F238E27FC236}">
              <a16:creationId xmlns:a16="http://schemas.microsoft.com/office/drawing/2014/main" id="{8AF30182-2CD5-480F-A2EA-06A0A3C6BF01}"/>
            </a:ext>
          </a:extLst>
        </xdr:cNvPr>
        <xdr:cNvSpPr/>
      </xdr:nvSpPr>
      <xdr:spPr>
        <a:xfrm>
          <a:off x="22860" y="434340"/>
          <a:ext cx="1699260" cy="1082040"/>
        </a:xfrm>
        <a:prstGeom prst="roundRect">
          <a:avLst/>
        </a:prstGeom>
        <a:solidFill>
          <a:srgbClr val="A568D2"/>
        </a:solidFill>
        <a:ln>
          <a:solidFill>
            <a:srgbClr val="B1C5E9"/>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bg1"/>
              </a:solidFill>
            </a:rPr>
            <a:t>$</a:t>
          </a:r>
          <a:r>
            <a:rPr lang="en-US" sz="1400">
              <a:solidFill>
                <a:schemeClr val="bg1"/>
              </a:solidFill>
            </a:rPr>
            <a:t>1,91,350.00</a:t>
          </a:r>
        </a:p>
      </xdr:txBody>
    </xdr:sp>
    <xdr:clientData/>
  </xdr:twoCellAnchor>
  <xdr:twoCellAnchor>
    <xdr:from>
      <xdr:col>0</xdr:col>
      <xdr:colOff>22860</xdr:colOff>
      <xdr:row>8</xdr:row>
      <xdr:rowOff>68580</xdr:rowOff>
    </xdr:from>
    <xdr:to>
      <xdr:col>2</xdr:col>
      <xdr:colOff>525780</xdr:colOff>
      <xdr:row>13</xdr:row>
      <xdr:rowOff>76200</xdr:rowOff>
    </xdr:to>
    <xdr:sp macro="" textlink="">
      <xdr:nvSpPr>
        <xdr:cNvPr id="4" name="Rectangle: Rounded Corners 3">
          <a:extLst>
            <a:ext uri="{FF2B5EF4-FFF2-40B4-BE49-F238E27FC236}">
              <a16:creationId xmlns:a16="http://schemas.microsoft.com/office/drawing/2014/main" id="{6DAE4E58-E092-4428-8E22-52890F1901EB}"/>
            </a:ext>
          </a:extLst>
        </xdr:cNvPr>
        <xdr:cNvSpPr/>
      </xdr:nvSpPr>
      <xdr:spPr>
        <a:xfrm>
          <a:off x="22860" y="1615440"/>
          <a:ext cx="1722120" cy="1005840"/>
        </a:xfrm>
        <a:prstGeom prst="roundRect">
          <a:avLst/>
        </a:prstGeom>
        <a:solidFill>
          <a:srgbClr val="A568D2"/>
        </a:solidFill>
        <a:ln>
          <a:solidFill>
            <a:srgbClr val="B1C5E9"/>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4.18</a:t>
          </a:r>
        </a:p>
      </xdr:txBody>
    </xdr:sp>
    <xdr:clientData/>
  </xdr:twoCellAnchor>
  <xdr:twoCellAnchor>
    <xdr:from>
      <xdr:col>0</xdr:col>
      <xdr:colOff>45720</xdr:colOff>
      <xdr:row>14</xdr:row>
      <xdr:rowOff>7620</xdr:rowOff>
    </xdr:from>
    <xdr:to>
      <xdr:col>2</xdr:col>
      <xdr:colOff>571500</xdr:colOff>
      <xdr:row>19</xdr:row>
      <xdr:rowOff>121920</xdr:rowOff>
    </xdr:to>
    <xdr:sp macro="" textlink="'sales rep'!C4">
      <xdr:nvSpPr>
        <xdr:cNvPr id="5" name="Rectangle: Rounded Corners 4">
          <a:extLst>
            <a:ext uri="{FF2B5EF4-FFF2-40B4-BE49-F238E27FC236}">
              <a16:creationId xmlns:a16="http://schemas.microsoft.com/office/drawing/2014/main" id="{9AB7EE99-4021-4AC0-8E9D-0FFC93E8F439}"/>
            </a:ext>
          </a:extLst>
        </xdr:cNvPr>
        <xdr:cNvSpPr/>
      </xdr:nvSpPr>
      <xdr:spPr>
        <a:xfrm>
          <a:off x="45720" y="2735580"/>
          <a:ext cx="1744980" cy="1112520"/>
        </a:xfrm>
        <a:prstGeom prst="roundRect">
          <a:avLst/>
        </a:prstGeom>
        <a:solidFill>
          <a:srgbClr val="A568D2"/>
        </a:solidFill>
        <a:ln>
          <a:solidFill>
            <a:srgbClr val="B1C5E9"/>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49B3EC-CA45-431A-9449-146631E389CF}" type="TxLink">
            <a:rPr lang="en-US" sz="1400" b="0" i="0" u="none" strike="noStrike">
              <a:solidFill>
                <a:schemeClr val="bg1"/>
              </a:solidFill>
              <a:latin typeface="Calibri"/>
              <a:ea typeface="Calibri"/>
              <a:cs typeface="Calibri"/>
            </a:rPr>
            <a:pPr algn="ctr"/>
            <a:t>$13,30,800.00</a:t>
          </a:fld>
          <a:endParaRPr lang="en-IN" sz="1400">
            <a:solidFill>
              <a:schemeClr val="bg1"/>
            </a:solidFill>
          </a:endParaRPr>
        </a:p>
      </xdr:txBody>
    </xdr:sp>
    <xdr:clientData/>
  </xdr:twoCellAnchor>
  <xdr:twoCellAnchor>
    <xdr:from>
      <xdr:col>0</xdr:col>
      <xdr:colOff>38100</xdr:colOff>
      <xdr:row>20</xdr:row>
      <xdr:rowOff>60960</xdr:rowOff>
    </xdr:from>
    <xdr:to>
      <xdr:col>2</xdr:col>
      <xdr:colOff>579120</xdr:colOff>
      <xdr:row>25</xdr:row>
      <xdr:rowOff>167640</xdr:rowOff>
    </xdr:to>
    <xdr:sp macro="" textlink="'sales rep'!D4">
      <xdr:nvSpPr>
        <xdr:cNvPr id="6" name="Rectangle: Rounded Corners 5">
          <a:extLst>
            <a:ext uri="{FF2B5EF4-FFF2-40B4-BE49-F238E27FC236}">
              <a16:creationId xmlns:a16="http://schemas.microsoft.com/office/drawing/2014/main" id="{701D7C85-844B-447E-823F-FC36C90ADD76}"/>
            </a:ext>
          </a:extLst>
        </xdr:cNvPr>
        <xdr:cNvSpPr/>
      </xdr:nvSpPr>
      <xdr:spPr>
        <a:xfrm>
          <a:off x="38100" y="3970020"/>
          <a:ext cx="1760220" cy="1104900"/>
        </a:xfrm>
        <a:prstGeom prst="roundRect">
          <a:avLst/>
        </a:prstGeom>
        <a:solidFill>
          <a:srgbClr val="A568D2"/>
        </a:solidFill>
        <a:ln>
          <a:solidFill>
            <a:srgbClr val="B1C5E9"/>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535B47-2C72-4224-91FC-273DD9B4150D}" type="TxLink">
            <a:rPr lang="en-US" sz="1400" b="0" i="0" u="none" strike="noStrike">
              <a:solidFill>
                <a:schemeClr val="bg1"/>
              </a:solidFill>
              <a:latin typeface="Calibri"/>
              <a:ea typeface="Calibri"/>
              <a:cs typeface="Calibri"/>
            </a:rPr>
            <a:pPr algn="ctr"/>
            <a:t>50</a:t>
          </a:fld>
          <a:endParaRPr lang="en-IN" sz="1400">
            <a:solidFill>
              <a:schemeClr val="bg1"/>
            </a:solidFill>
          </a:endParaRPr>
        </a:p>
      </xdr:txBody>
    </xdr:sp>
    <xdr:clientData/>
  </xdr:twoCellAnchor>
  <xdr:twoCellAnchor>
    <xdr:from>
      <xdr:col>0</xdr:col>
      <xdr:colOff>464820</xdr:colOff>
      <xdr:row>2</xdr:row>
      <xdr:rowOff>76200</xdr:rowOff>
    </xdr:from>
    <xdr:to>
      <xdr:col>2</xdr:col>
      <xdr:colOff>91440</xdr:colOff>
      <xdr:row>3</xdr:row>
      <xdr:rowOff>114300</xdr:rowOff>
    </xdr:to>
    <xdr:sp macro="" textlink="">
      <xdr:nvSpPr>
        <xdr:cNvPr id="7" name="TextBox 6">
          <a:extLst>
            <a:ext uri="{FF2B5EF4-FFF2-40B4-BE49-F238E27FC236}">
              <a16:creationId xmlns:a16="http://schemas.microsoft.com/office/drawing/2014/main" id="{D322639E-6874-04B7-9791-7F998AC12C34}"/>
            </a:ext>
          </a:extLst>
        </xdr:cNvPr>
        <xdr:cNvSpPr txBox="1"/>
      </xdr:nvSpPr>
      <xdr:spPr>
        <a:xfrm>
          <a:off x="464820" y="525780"/>
          <a:ext cx="845820" cy="2209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Total Profit</a:t>
          </a:r>
        </a:p>
      </xdr:txBody>
    </xdr:sp>
    <xdr:clientData/>
  </xdr:twoCellAnchor>
  <xdr:twoCellAnchor editAs="oneCell">
    <xdr:from>
      <xdr:col>0</xdr:col>
      <xdr:colOff>114300</xdr:colOff>
      <xdr:row>2</xdr:row>
      <xdr:rowOff>38100</xdr:rowOff>
    </xdr:from>
    <xdr:to>
      <xdr:col>0</xdr:col>
      <xdr:colOff>419100</xdr:colOff>
      <xdr:row>3</xdr:row>
      <xdr:rowOff>160020</xdr:rowOff>
    </xdr:to>
    <xdr:pic>
      <xdr:nvPicPr>
        <xdr:cNvPr id="8" name="Graphic 7" descr="Bar graph with upward trend with solid fill">
          <a:extLst>
            <a:ext uri="{FF2B5EF4-FFF2-40B4-BE49-F238E27FC236}">
              <a16:creationId xmlns:a16="http://schemas.microsoft.com/office/drawing/2014/main" id="{7F38BD14-FE97-4177-A841-113C8DF084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487680"/>
          <a:ext cx="304800" cy="304800"/>
        </a:xfrm>
        <a:prstGeom prst="rect">
          <a:avLst/>
        </a:prstGeom>
      </xdr:spPr>
    </xdr:pic>
    <xdr:clientData/>
  </xdr:twoCellAnchor>
  <xdr:twoCellAnchor editAs="oneCell">
    <xdr:from>
      <xdr:col>0</xdr:col>
      <xdr:colOff>129540</xdr:colOff>
      <xdr:row>14</xdr:row>
      <xdr:rowOff>53340</xdr:rowOff>
    </xdr:from>
    <xdr:to>
      <xdr:col>0</xdr:col>
      <xdr:colOff>449580</xdr:colOff>
      <xdr:row>15</xdr:row>
      <xdr:rowOff>190500</xdr:rowOff>
    </xdr:to>
    <xdr:pic>
      <xdr:nvPicPr>
        <xdr:cNvPr id="9" name="Graphic 8" descr="Coins with solid fill">
          <a:extLst>
            <a:ext uri="{FF2B5EF4-FFF2-40B4-BE49-F238E27FC236}">
              <a16:creationId xmlns:a16="http://schemas.microsoft.com/office/drawing/2014/main" id="{BC99D490-018F-4E61-8A30-A3AEBB269B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40" y="2781300"/>
          <a:ext cx="320040" cy="320040"/>
        </a:xfrm>
        <a:prstGeom prst="rect">
          <a:avLst/>
        </a:prstGeom>
      </xdr:spPr>
    </xdr:pic>
    <xdr:clientData/>
  </xdr:twoCellAnchor>
  <xdr:twoCellAnchor>
    <xdr:from>
      <xdr:col>0</xdr:col>
      <xdr:colOff>472440</xdr:colOff>
      <xdr:row>5</xdr:row>
      <xdr:rowOff>137160</xdr:rowOff>
    </xdr:from>
    <xdr:to>
      <xdr:col>2</xdr:col>
      <xdr:colOff>83820</xdr:colOff>
      <xdr:row>7</xdr:row>
      <xdr:rowOff>22860</xdr:rowOff>
    </xdr:to>
    <xdr:sp macro="" textlink="'sales rep'!A9">
      <xdr:nvSpPr>
        <xdr:cNvPr id="10" name="TextBox 9">
          <a:extLst>
            <a:ext uri="{FF2B5EF4-FFF2-40B4-BE49-F238E27FC236}">
              <a16:creationId xmlns:a16="http://schemas.microsoft.com/office/drawing/2014/main" id="{91862A7E-9FD6-C771-0F4E-C38C5D631369}"/>
            </a:ext>
          </a:extLst>
        </xdr:cNvPr>
        <xdr:cNvSpPr txBox="1"/>
      </xdr:nvSpPr>
      <xdr:spPr>
        <a:xfrm>
          <a:off x="472440" y="1135380"/>
          <a:ext cx="8305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CC3E94-D664-49F9-95E7-88DB55587DC8}" type="TxLink">
            <a:rPr lang="en-US" sz="1100" b="0" i="0" u="none" strike="noStrike">
              <a:solidFill>
                <a:schemeClr val="bg1"/>
              </a:solidFill>
              <a:latin typeface="Calibri"/>
              <a:ea typeface="Calibri"/>
              <a:cs typeface="Calibri"/>
            </a:rPr>
            <a:pPr/>
            <a:t>$25,250.00</a:t>
          </a:fld>
          <a:endParaRPr lang="en-IN" sz="1100">
            <a:solidFill>
              <a:schemeClr val="bg1"/>
            </a:solidFill>
          </a:endParaRPr>
        </a:p>
      </xdr:txBody>
    </xdr:sp>
    <xdr:clientData/>
  </xdr:twoCellAnchor>
  <xdr:twoCellAnchor>
    <xdr:from>
      <xdr:col>0</xdr:col>
      <xdr:colOff>441960</xdr:colOff>
      <xdr:row>8</xdr:row>
      <xdr:rowOff>137160</xdr:rowOff>
    </xdr:from>
    <xdr:to>
      <xdr:col>2</xdr:col>
      <xdr:colOff>106680</xdr:colOff>
      <xdr:row>9</xdr:row>
      <xdr:rowOff>121920</xdr:rowOff>
    </xdr:to>
    <xdr:sp macro="" textlink="">
      <xdr:nvSpPr>
        <xdr:cNvPr id="11" name="TextBox 10">
          <a:extLst>
            <a:ext uri="{FF2B5EF4-FFF2-40B4-BE49-F238E27FC236}">
              <a16:creationId xmlns:a16="http://schemas.microsoft.com/office/drawing/2014/main" id="{87ACEAEC-A206-7617-9B08-439A0C860900}"/>
            </a:ext>
          </a:extLst>
        </xdr:cNvPr>
        <xdr:cNvSpPr txBox="1"/>
      </xdr:nvSpPr>
      <xdr:spPr>
        <a:xfrm>
          <a:off x="441960" y="1684020"/>
          <a:ext cx="883920" cy="25146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  Avg.Rating</a:t>
          </a:r>
        </a:p>
      </xdr:txBody>
    </xdr:sp>
    <xdr:clientData/>
  </xdr:twoCellAnchor>
  <xdr:twoCellAnchor>
    <xdr:from>
      <xdr:col>0</xdr:col>
      <xdr:colOff>449580</xdr:colOff>
      <xdr:row>14</xdr:row>
      <xdr:rowOff>106680</xdr:rowOff>
    </xdr:from>
    <xdr:to>
      <xdr:col>2</xdr:col>
      <xdr:colOff>190500</xdr:colOff>
      <xdr:row>15</xdr:row>
      <xdr:rowOff>175260</xdr:rowOff>
    </xdr:to>
    <xdr:sp macro="" textlink="">
      <xdr:nvSpPr>
        <xdr:cNvPr id="12" name="TextBox 11">
          <a:extLst>
            <a:ext uri="{FF2B5EF4-FFF2-40B4-BE49-F238E27FC236}">
              <a16:creationId xmlns:a16="http://schemas.microsoft.com/office/drawing/2014/main" id="{D74559EA-7EA2-43EB-50B3-21F1D9E40DF4}"/>
            </a:ext>
          </a:extLst>
        </xdr:cNvPr>
        <xdr:cNvSpPr txBox="1"/>
      </xdr:nvSpPr>
      <xdr:spPr>
        <a:xfrm>
          <a:off x="449580" y="2834640"/>
          <a:ext cx="960120" cy="25146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Total Sales</a:t>
          </a:r>
        </a:p>
      </xdr:txBody>
    </xdr:sp>
    <xdr:clientData/>
  </xdr:twoCellAnchor>
  <xdr:twoCellAnchor>
    <xdr:from>
      <xdr:col>0</xdr:col>
      <xdr:colOff>358140</xdr:colOff>
      <xdr:row>20</xdr:row>
      <xdr:rowOff>152400</xdr:rowOff>
    </xdr:from>
    <xdr:to>
      <xdr:col>2</xdr:col>
      <xdr:colOff>259080</xdr:colOff>
      <xdr:row>22</xdr:row>
      <xdr:rowOff>38100</xdr:rowOff>
    </xdr:to>
    <xdr:sp macro="" textlink="">
      <xdr:nvSpPr>
        <xdr:cNvPr id="13" name="TextBox 12">
          <a:extLst>
            <a:ext uri="{FF2B5EF4-FFF2-40B4-BE49-F238E27FC236}">
              <a16:creationId xmlns:a16="http://schemas.microsoft.com/office/drawing/2014/main" id="{56442520-E9AB-6588-805F-504CA7F56BE9}"/>
            </a:ext>
          </a:extLst>
        </xdr:cNvPr>
        <xdr:cNvSpPr txBox="1"/>
      </xdr:nvSpPr>
      <xdr:spPr>
        <a:xfrm>
          <a:off x="358140" y="4061460"/>
          <a:ext cx="1120140" cy="25146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Category</a:t>
          </a:r>
          <a:r>
            <a:rPr lang="en-IN" sz="1100" b="1" baseline="0"/>
            <a:t> Count</a:t>
          </a:r>
          <a:endParaRPr lang="en-IN" sz="1100" b="1"/>
        </a:p>
      </xdr:txBody>
    </xdr:sp>
    <xdr:clientData/>
  </xdr:twoCellAnchor>
  <xdr:twoCellAnchor>
    <xdr:from>
      <xdr:col>1</xdr:col>
      <xdr:colOff>91440</xdr:colOff>
      <xdr:row>11</xdr:row>
      <xdr:rowOff>22860</xdr:rowOff>
    </xdr:from>
    <xdr:to>
      <xdr:col>1</xdr:col>
      <xdr:colOff>518160</xdr:colOff>
      <xdr:row>12</xdr:row>
      <xdr:rowOff>38100</xdr:rowOff>
    </xdr:to>
    <xdr:sp macro="" textlink="'sales rep'!B9">
      <xdr:nvSpPr>
        <xdr:cNvPr id="14" name="TextBox 13">
          <a:extLst>
            <a:ext uri="{FF2B5EF4-FFF2-40B4-BE49-F238E27FC236}">
              <a16:creationId xmlns:a16="http://schemas.microsoft.com/office/drawing/2014/main" id="{5899D558-D168-1984-2EDA-2DA720F6A0D2}"/>
            </a:ext>
          </a:extLst>
        </xdr:cNvPr>
        <xdr:cNvSpPr txBox="1"/>
      </xdr:nvSpPr>
      <xdr:spPr>
        <a:xfrm>
          <a:off x="701040" y="2202180"/>
          <a:ext cx="4267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A9E79D-F731-4B2A-8E68-594D4BF98620}" type="TxLink">
            <a:rPr lang="en-US" sz="1200" b="0" i="0" u="none" strike="noStrike">
              <a:solidFill>
                <a:schemeClr val="bg1"/>
              </a:solidFill>
              <a:latin typeface="Calibri"/>
              <a:ea typeface="Calibri"/>
              <a:cs typeface="Calibri"/>
            </a:rPr>
            <a:pPr/>
            <a:t>3.6</a:t>
          </a:fld>
          <a:endParaRPr lang="en-IN" sz="1200">
            <a:solidFill>
              <a:schemeClr val="bg1"/>
            </a:solidFill>
          </a:endParaRPr>
        </a:p>
      </xdr:txBody>
    </xdr:sp>
    <xdr:clientData/>
  </xdr:twoCellAnchor>
  <xdr:twoCellAnchor>
    <xdr:from>
      <xdr:col>0</xdr:col>
      <xdr:colOff>464820</xdr:colOff>
      <xdr:row>17</xdr:row>
      <xdr:rowOff>60960</xdr:rowOff>
    </xdr:from>
    <xdr:to>
      <xdr:col>2</xdr:col>
      <xdr:colOff>175260</xdr:colOff>
      <xdr:row>18</xdr:row>
      <xdr:rowOff>121920</xdr:rowOff>
    </xdr:to>
    <xdr:sp macro="" textlink="'sales rep'!C9">
      <xdr:nvSpPr>
        <xdr:cNvPr id="15" name="TextBox 14">
          <a:extLst>
            <a:ext uri="{FF2B5EF4-FFF2-40B4-BE49-F238E27FC236}">
              <a16:creationId xmlns:a16="http://schemas.microsoft.com/office/drawing/2014/main" id="{E4F540EE-0D46-77AD-CCAD-06F60D89F1B1}"/>
            </a:ext>
          </a:extLst>
        </xdr:cNvPr>
        <xdr:cNvSpPr txBox="1"/>
      </xdr:nvSpPr>
      <xdr:spPr>
        <a:xfrm>
          <a:off x="464820" y="3421380"/>
          <a:ext cx="9296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88B821-A49E-4860-8160-CBE169D2CFF3}" type="TxLink">
            <a:rPr lang="en-US" sz="1100" b="0" i="0" u="none" strike="noStrike">
              <a:solidFill>
                <a:schemeClr val="bg1"/>
              </a:solidFill>
              <a:latin typeface="Calibri"/>
              <a:ea typeface="Calibri"/>
              <a:cs typeface="Calibri"/>
            </a:rPr>
            <a:pPr/>
            <a:t>$1,78,100.00</a:t>
          </a:fld>
          <a:endParaRPr lang="en-IN" sz="1100">
            <a:solidFill>
              <a:schemeClr val="bg1"/>
            </a:solidFill>
          </a:endParaRPr>
        </a:p>
      </xdr:txBody>
    </xdr:sp>
    <xdr:clientData/>
  </xdr:twoCellAnchor>
  <xdr:twoCellAnchor>
    <xdr:from>
      <xdr:col>1</xdr:col>
      <xdr:colOff>129540</xdr:colOff>
      <xdr:row>23</xdr:row>
      <xdr:rowOff>160020</xdr:rowOff>
    </xdr:from>
    <xdr:to>
      <xdr:col>1</xdr:col>
      <xdr:colOff>495300</xdr:colOff>
      <xdr:row>24</xdr:row>
      <xdr:rowOff>114300</xdr:rowOff>
    </xdr:to>
    <xdr:sp macro="" textlink="'sales rep'!D9">
      <xdr:nvSpPr>
        <xdr:cNvPr id="16" name="TextBox 15">
          <a:extLst>
            <a:ext uri="{FF2B5EF4-FFF2-40B4-BE49-F238E27FC236}">
              <a16:creationId xmlns:a16="http://schemas.microsoft.com/office/drawing/2014/main" id="{1E2FC7E1-D216-3DBB-A2F3-DD695C0298C1}"/>
            </a:ext>
          </a:extLst>
        </xdr:cNvPr>
        <xdr:cNvSpPr txBox="1"/>
      </xdr:nvSpPr>
      <xdr:spPr>
        <a:xfrm>
          <a:off x="739140" y="4617720"/>
          <a:ext cx="3657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DDF53B-0E22-4722-BF5D-F299199CACFC}" type="TxLink">
            <a:rPr lang="en-US" sz="1100" b="0" i="0" u="none" strike="noStrike">
              <a:solidFill>
                <a:schemeClr val="bg1"/>
              </a:solidFill>
              <a:latin typeface="Calibri"/>
              <a:ea typeface="Calibri"/>
              <a:cs typeface="Calibri"/>
            </a:rPr>
            <a:pPr/>
            <a:t>10</a:t>
          </a:fld>
          <a:endParaRPr lang="en-IN" sz="1100">
            <a:solidFill>
              <a:schemeClr val="bg1"/>
            </a:solidFill>
          </a:endParaRPr>
        </a:p>
      </xdr:txBody>
    </xdr:sp>
    <xdr:clientData/>
  </xdr:twoCellAnchor>
  <xdr:twoCellAnchor editAs="oneCell">
    <xdr:from>
      <xdr:col>0</xdr:col>
      <xdr:colOff>83820</xdr:colOff>
      <xdr:row>8</xdr:row>
      <xdr:rowOff>99060</xdr:rowOff>
    </xdr:from>
    <xdr:to>
      <xdr:col>0</xdr:col>
      <xdr:colOff>449580</xdr:colOff>
      <xdr:row>10</xdr:row>
      <xdr:rowOff>15240</xdr:rowOff>
    </xdr:to>
    <xdr:pic>
      <xdr:nvPicPr>
        <xdr:cNvPr id="18" name="Graphic 17" descr="Stars with solid fill">
          <a:extLst>
            <a:ext uri="{FF2B5EF4-FFF2-40B4-BE49-F238E27FC236}">
              <a16:creationId xmlns:a16="http://schemas.microsoft.com/office/drawing/2014/main" id="{771F6F86-FEEA-BB2F-C09A-8A357FD42F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3820" y="1645920"/>
          <a:ext cx="365760" cy="365760"/>
        </a:xfrm>
        <a:prstGeom prst="rect">
          <a:avLst/>
        </a:prstGeom>
      </xdr:spPr>
    </xdr:pic>
    <xdr:clientData/>
  </xdr:twoCellAnchor>
  <xdr:twoCellAnchor editAs="oneCell">
    <xdr:from>
      <xdr:col>18</xdr:col>
      <xdr:colOff>480060</xdr:colOff>
      <xdr:row>3</xdr:row>
      <xdr:rowOff>60961</xdr:rowOff>
    </xdr:from>
    <xdr:to>
      <xdr:col>21</xdr:col>
      <xdr:colOff>480060</xdr:colOff>
      <xdr:row>14</xdr:row>
      <xdr:rowOff>60961</xdr:rowOff>
    </xdr:to>
    <mc:AlternateContent xmlns:mc="http://schemas.openxmlformats.org/markup-compatibility/2006" xmlns:a14="http://schemas.microsoft.com/office/drawing/2010/main">
      <mc:Choice Requires="a14">
        <xdr:graphicFrame macro="">
          <xdr:nvGraphicFramePr>
            <xdr:cNvPr id="21" name="Sales Rep">
              <a:extLst>
                <a:ext uri="{FF2B5EF4-FFF2-40B4-BE49-F238E27FC236}">
                  <a16:creationId xmlns:a16="http://schemas.microsoft.com/office/drawing/2014/main" id="{165A3287-069A-4C0B-A148-E4617F3B02EA}"/>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1452860" y="69342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20</xdr:row>
      <xdr:rowOff>114300</xdr:rowOff>
    </xdr:from>
    <xdr:to>
      <xdr:col>0</xdr:col>
      <xdr:colOff>358140</xdr:colOff>
      <xdr:row>22</xdr:row>
      <xdr:rowOff>7620</xdr:rowOff>
    </xdr:to>
    <xdr:pic>
      <xdr:nvPicPr>
        <xdr:cNvPr id="20" name="Graphic 19" descr="Upward trend with solid fill">
          <a:extLst>
            <a:ext uri="{FF2B5EF4-FFF2-40B4-BE49-F238E27FC236}">
              <a16:creationId xmlns:a16="http://schemas.microsoft.com/office/drawing/2014/main" id="{B84365B1-90A2-4C6D-BB66-EF05263F320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20963542">
          <a:off x="99060" y="4023360"/>
          <a:ext cx="259080" cy="259080"/>
        </a:xfrm>
        <a:prstGeom prst="rect">
          <a:avLst/>
        </a:prstGeom>
      </xdr:spPr>
    </xdr:pic>
    <xdr:clientData/>
  </xdr:twoCellAnchor>
  <xdr:twoCellAnchor>
    <xdr:from>
      <xdr:col>3</xdr:col>
      <xdr:colOff>99060</xdr:colOff>
      <xdr:row>3</xdr:row>
      <xdr:rowOff>38100</xdr:rowOff>
    </xdr:from>
    <xdr:to>
      <xdr:col>8</xdr:col>
      <xdr:colOff>243840</xdr:colOff>
      <xdr:row>14</xdr:row>
      <xdr:rowOff>38100</xdr:rowOff>
    </xdr:to>
    <xdr:graphicFrame macro="">
      <xdr:nvGraphicFramePr>
        <xdr:cNvPr id="22" name="Chart 21">
          <a:extLst>
            <a:ext uri="{FF2B5EF4-FFF2-40B4-BE49-F238E27FC236}">
              <a16:creationId xmlns:a16="http://schemas.microsoft.com/office/drawing/2014/main" id="{785F07DC-7F72-45D2-A5DF-0683C77F7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289560</xdr:colOff>
      <xdr:row>3</xdr:row>
      <xdr:rowOff>68580</xdr:rowOff>
    </xdr:from>
    <xdr:to>
      <xdr:col>13</xdr:col>
      <xdr:colOff>533400</xdr:colOff>
      <xdr:row>14</xdr:row>
      <xdr:rowOff>38100</xdr:rowOff>
    </xdr:to>
    <xdr:graphicFrame macro="">
      <xdr:nvGraphicFramePr>
        <xdr:cNvPr id="23" name="Chart 22">
          <a:extLst>
            <a:ext uri="{FF2B5EF4-FFF2-40B4-BE49-F238E27FC236}">
              <a16:creationId xmlns:a16="http://schemas.microsoft.com/office/drawing/2014/main" id="{67C86B47-E84D-452E-81F5-6799D5124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121920</xdr:colOff>
      <xdr:row>15</xdr:row>
      <xdr:rowOff>0</xdr:rowOff>
    </xdr:from>
    <xdr:to>
      <xdr:col>9</xdr:col>
      <xdr:colOff>464820</xdr:colOff>
      <xdr:row>25</xdr:row>
      <xdr:rowOff>72390</xdr:rowOff>
    </xdr:to>
    <xdr:graphicFrame macro="">
      <xdr:nvGraphicFramePr>
        <xdr:cNvPr id="25" name="Chart 24">
          <a:extLst>
            <a:ext uri="{FF2B5EF4-FFF2-40B4-BE49-F238E27FC236}">
              <a16:creationId xmlns:a16="http://schemas.microsoft.com/office/drawing/2014/main" id="{D58C3903-6371-42C3-B5A6-779F700A8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601980</xdr:colOff>
      <xdr:row>15</xdr:row>
      <xdr:rowOff>22860</xdr:rowOff>
    </xdr:from>
    <xdr:to>
      <xdr:col>16</xdr:col>
      <xdr:colOff>175260</xdr:colOff>
      <xdr:row>25</xdr:row>
      <xdr:rowOff>60960</xdr:rowOff>
    </xdr:to>
    <xdr:graphicFrame macro="">
      <xdr:nvGraphicFramePr>
        <xdr:cNvPr id="26" name="Chart 25">
          <a:extLst>
            <a:ext uri="{FF2B5EF4-FFF2-40B4-BE49-F238E27FC236}">
              <a16:creationId xmlns:a16="http://schemas.microsoft.com/office/drawing/2014/main" id="{9FF9422C-06B3-45E0-A7DD-8607CFA03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274320</xdr:colOff>
      <xdr:row>15</xdr:row>
      <xdr:rowOff>0</xdr:rowOff>
    </xdr:from>
    <xdr:to>
      <xdr:col>22</xdr:col>
      <xdr:colOff>342900</xdr:colOff>
      <xdr:row>25</xdr:row>
      <xdr:rowOff>30480</xdr:rowOff>
    </xdr:to>
    <xdr:graphicFrame macro="">
      <xdr:nvGraphicFramePr>
        <xdr:cNvPr id="27" name="Chart 26">
          <a:extLst>
            <a:ext uri="{FF2B5EF4-FFF2-40B4-BE49-F238E27FC236}">
              <a16:creationId xmlns:a16="http://schemas.microsoft.com/office/drawing/2014/main" id="{63484C42-6AED-4E57-8BE8-7EDE2A38C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586740</xdr:colOff>
      <xdr:row>1</xdr:row>
      <xdr:rowOff>68580</xdr:rowOff>
    </xdr:from>
    <xdr:to>
      <xdr:col>13</xdr:col>
      <xdr:colOff>586740</xdr:colOff>
      <xdr:row>2</xdr:row>
      <xdr:rowOff>106680</xdr:rowOff>
    </xdr:to>
    <xdr:sp macro="" textlink="">
      <xdr:nvSpPr>
        <xdr:cNvPr id="28" name="TextBox 27">
          <a:extLst>
            <a:ext uri="{FF2B5EF4-FFF2-40B4-BE49-F238E27FC236}">
              <a16:creationId xmlns:a16="http://schemas.microsoft.com/office/drawing/2014/main" id="{426C8799-3A98-B5A0-D2BC-F37D3BA32C8D}"/>
            </a:ext>
          </a:extLst>
        </xdr:cNvPr>
        <xdr:cNvSpPr txBox="1"/>
      </xdr:nvSpPr>
      <xdr:spPr>
        <a:xfrm>
          <a:off x="5463540" y="251460"/>
          <a:ext cx="3048000" cy="304800"/>
        </a:xfrm>
        <a:prstGeom prst="rect">
          <a:avLst/>
        </a:prstGeom>
        <a:solidFill>
          <a:srgbClr val="E7F0F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600" b="1">
              <a:solidFill>
                <a:srgbClr val="CC66FF"/>
              </a:solidFill>
            </a:rPr>
            <a:t>Sales Performance Analysis</a:t>
          </a:r>
        </a:p>
      </xdr:txBody>
    </xdr:sp>
    <xdr:clientData/>
  </xdr:twoCellAnchor>
  <xdr:twoCellAnchor editAs="oneCell">
    <xdr:from>
      <xdr:col>8</xdr:col>
      <xdr:colOff>487680</xdr:colOff>
      <xdr:row>1</xdr:row>
      <xdr:rowOff>15240</xdr:rowOff>
    </xdr:from>
    <xdr:to>
      <xdr:col>9</xdr:col>
      <xdr:colOff>304800</xdr:colOff>
      <xdr:row>2</xdr:row>
      <xdr:rowOff>175260</xdr:rowOff>
    </xdr:to>
    <xdr:pic>
      <xdr:nvPicPr>
        <xdr:cNvPr id="30" name="Graphic 29" descr="Research with solid fill">
          <a:extLst>
            <a:ext uri="{FF2B5EF4-FFF2-40B4-BE49-F238E27FC236}">
              <a16:creationId xmlns:a16="http://schemas.microsoft.com/office/drawing/2014/main" id="{6662C365-AB38-4B06-A07D-051832EEABD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rot="5400000">
          <a:off x="5364480" y="198120"/>
          <a:ext cx="426720" cy="426720"/>
        </a:xfrm>
        <a:prstGeom prst="rect">
          <a:avLst/>
        </a:prstGeom>
      </xdr:spPr>
    </xdr:pic>
    <xdr:clientData/>
  </xdr:twoCellAnchor>
  <xdr:twoCellAnchor>
    <xdr:from>
      <xdr:col>14</xdr:col>
      <xdr:colOff>0</xdr:colOff>
      <xdr:row>3</xdr:row>
      <xdr:rowOff>76200</xdr:rowOff>
    </xdr:from>
    <xdr:to>
      <xdr:col>18</xdr:col>
      <xdr:colOff>426720</xdr:colOff>
      <xdr:row>14</xdr:row>
      <xdr:rowOff>38100</xdr:rowOff>
    </xdr:to>
    <xdr:graphicFrame macro="">
      <xdr:nvGraphicFramePr>
        <xdr:cNvPr id="3" name="Chart 2">
          <a:extLst>
            <a:ext uri="{FF2B5EF4-FFF2-40B4-BE49-F238E27FC236}">
              <a16:creationId xmlns:a16="http://schemas.microsoft.com/office/drawing/2014/main" id="{1358734D-9FC2-4478-9483-1AB0CC9AD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h" refreshedDate="46207.636443518517" createdVersion="8" refreshedVersion="8" minRefreshableVersion="3" recordCount="50" xr:uid="{40D74CBE-4490-44BD-AB19-AEB4D0BA2F59}">
  <cacheSource type="worksheet">
    <worksheetSource name="Table1"/>
  </cacheSource>
  <cacheFields count="13">
    <cacheField name="Order ID" numFmtId="0">
      <sharedItems count="5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haredItems>
    </cacheField>
    <cacheField name="Order Date" numFmtId="14">
      <sharedItems containsSemiMixedTypes="0" containsNonDate="0" containsDate="1" containsString="0" minDate="2020-08-23T00:00:00" maxDate="2025-05-18T00:00:00"/>
    </cacheField>
    <cacheField name="Sales Rep" numFmtId="0">
      <sharedItems count="5">
        <s v="Rahul"/>
        <s v="Priya"/>
        <s v="Amit"/>
        <s v="Neha"/>
        <s v="Kiran"/>
      </sharedItems>
    </cacheField>
    <cacheField name="Customer Name" numFmtId="0">
      <sharedItems count="50">
        <s v="Ananya"/>
        <s v="Rohan"/>
        <s v="Sneha"/>
        <s v="Vikram"/>
        <s v="Asha"/>
        <s v="Ajay"/>
        <s v="Divya"/>
        <s v="Kiran"/>
        <s v="Suresh"/>
        <s v="Pooja"/>
        <s v="Manoj"/>
        <s v="Kavya"/>
        <s v="Harsha"/>
        <s v="Lakshmi"/>
        <s v="Nikhil"/>
        <s v="Arjun"/>
        <s v="Meghana"/>
        <s v="Deepak"/>
        <s v="Sandeep"/>
        <s v="Bhavya"/>
        <s v="Ravi"/>
        <s v="Geetha"/>
        <s v="Vinod"/>
        <s v="Sruthi"/>
        <s v="Mahesh"/>
        <s v="Jyothi"/>
        <s v="Keerthi"/>
        <s v="Suman"/>
        <s v="Chandu"/>
        <s v="Priyanka"/>
        <s v="Naveen"/>
        <s v="Rekha"/>
        <s v="Teja"/>
        <s v="Akhil"/>
        <s v="Sai"/>
        <s v="Pavan"/>
        <s v="Bhanu"/>
        <s v="Ramya"/>
        <s v="Ashok"/>
        <s v="Sindhu"/>
        <s v="Venu"/>
        <s v="Lalitha"/>
        <s v="Ganesh"/>
        <s v="Sunil"/>
        <s v="Madhu"/>
        <s v="Rakesh"/>
        <s v="Shilpa"/>
        <s v="Nandini"/>
        <s v="Prasad"/>
        <s v="Hema"/>
      </sharedItems>
    </cacheField>
    <cacheField name="City" numFmtId="0">
      <sharedItems count="7">
        <s v="Hyderabad"/>
        <s v="Bangalore"/>
        <s v="Chennai"/>
        <s v="Pune"/>
        <s v="Delhi"/>
        <s v="Mumbai"/>
        <s v="Vizag"/>
      </sharedItems>
    </cacheField>
    <cacheField name="Product" numFmtId="0">
      <sharedItems count="18">
        <s v="Laptop"/>
        <s v="Mobile"/>
        <s v="Printer"/>
        <s v="Keyboard"/>
        <s v="Monitor"/>
        <s v="Mouse"/>
        <s v="Tablet"/>
        <s v="Chair"/>
        <s v="Desk"/>
        <s v="Webcam"/>
        <s v="SSD"/>
        <s v="Router"/>
        <s v="Speaker"/>
        <s v="Headphones"/>
        <s v="Smart Watch"/>
        <s v="Pen Drive"/>
        <s v="Projector"/>
        <s v="Scanner"/>
      </sharedItems>
    </cacheField>
    <cacheField name="Category" numFmtId="0">
      <sharedItems count="5">
        <s v="Electronics"/>
        <s v="Office"/>
        <s v="Accessories"/>
        <s v="Furniture"/>
        <s v="Networking"/>
      </sharedItems>
    </cacheField>
    <cacheField name="Qty" numFmtId="0">
      <sharedItems containsSemiMixedTypes="0" containsString="0" containsNumber="1" containsInteger="1" minValue="1" maxValue="15"/>
    </cacheField>
    <cacheField name="Unit Price" numFmtId="0">
      <sharedItems containsSemiMixedTypes="0" containsString="0" containsNumber="1" containsInteger="1" minValue="600" maxValue="72000"/>
    </cacheField>
    <cacheField name="Sales Amount" numFmtId="0">
      <sharedItems containsSemiMixedTypes="0" containsString="0" containsNumber="1" containsInteger="1" minValue="5200" maxValue="104000"/>
    </cacheField>
    <cacheField name="Profit" numFmtId="0">
      <sharedItems containsSemiMixedTypes="0" containsString="0" containsNumber="1" containsInteger="1" minValue="700" maxValue="14500"/>
    </cacheField>
    <cacheField name="Payment Mode" numFmtId="0">
      <sharedItems count="5">
        <s v="UPI"/>
        <s v="Card"/>
        <s v="Cash"/>
        <s v="Net Banking"/>
        <s v="EMI"/>
      </sharedItems>
    </cacheField>
    <cacheField name="Rating" numFmtId="0">
      <sharedItems containsSemiMixedTypes="0" containsString="0" containsNumber="1" containsInteger="1" minValue="3" maxValue="5"/>
    </cacheField>
  </cacheFields>
  <extLst>
    <ext xmlns:x14="http://schemas.microsoft.com/office/spreadsheetml/2009/9/main" uri="{725AE2AE-9491-48be-B2B4-4EB974FC3084}">
      <x14:pivotCacheDefinition pivotCacheId="314620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d v="2025-03-17T00:00:00"/>
    <x v="0"/>
    <x v="0"/>
    <x v="0"/>
    <x v="0"/>
    <x v="0"/>
    <n v="2"/>
    <n v="52000"/>
    <n v="104000"/>
    <n v="14500"/>
    <x v="0"/>
    <n v="5"/>
  </r>
  <r>
    <x v="1"/>
    <d v="2023-07-03T00:00:00"/>
    <x v="1"/>
    <x v="1"/>
    <x v="1"/>
    <x v="1"/>
    <x v="0"/>
    <n v="3"/>
    <n v="22000"/>
    <n v="66000"/>
    <n v="9200"/>
    <x v="1"/>
    <n v="4"/>
  </r>
  <r>
    <x v="2"/>
    <d v="2021-11-18T00:00:00"/>
    <x v="2"/>
    <x v="2"/>
    <x v="2"/>
    <x v="2"/>
    <x v="1"/>
    <n v="1"/>
    <n v="12000"/>
    <n v="12000"/>
    <n v="1800"/>
    <x v="2"/>
    <n v="3"/>
  </r>
  <r>
    <x v="3"/>
    <d v="2024-03-27T00:00:00"/>
    <x v="3"/>
    <x v="3"/>
    <x v="3"/>
    <x v="3"/>
    <x v="2"/>
    <n v="5"/>
    <n v="1200"/>
    <n v="6000"/>
    <n v="900"/>
    <x v="0"/>
    <n v="4"/>
  </r>
  <r>
    <x v="4"/>
    <d v="2022-09-08T00:00:00"/>
    <x v="4"/>
    <x v="4"/>
    <x v="4"/>
    <x v="4"/>
    <x v="0"/>
    <n v="2"/>
    <n v="14500"/>
    <n v="29000"/>
    <n v="4100"/>
    <x v="1"/>
    <n v="5"/>
  </r>
  <r>
    <x v="5"/>
    <d v="2025-02-14T00:00:00"/>
    <x v="0"/>
    <x v="5"/>
    <x v="5"/>
    <x v="5"/>
    <x v="2"/>
    <n v="8"/>
    <n v="650"/>
    <n v="5200"/>
    <n v="700"/>
    <x v="2"/>
    <n v="4"/>
  </r>
  <r>
    <x v="6"/>
    <d v="2021-06-19T00:00:00"/>
    <x v="1"/>
    <x v="6"/>
    <x v="0"/>
    <x v="6"/>
    <x v="0"/>
    <n v="2"/>
    <n v="18500"/>
    <n v="37000"/>
    <n v="5200"/>
    <x v="0"/>
    <n v="5"/>
  </r>
  <r>
    <x v="7"/>
    <d v="2023-12-05T00:00:00"/>
    <x v="2"/>
    <x v="7"/>
    <x v="6"/>
    <x v="7"/>
    <x v="3"/>
    <n v="4"/>
    <n v="3800"/>
    <n v="15200"/>
    <n v="2200"/>
    <x v="1"/>
    <n v="3"/>
  </r>
  <r>
    <x v="8"/>
    <d v="2020-08-25T00:00:00"/>
    <x v="3"/>
    <x v="8"/>
    <x v="2"/>
    <x v="8"/>
    <x v="3"/>
    <n v="2"/>
    <n v="8500"/>
    <n v="17000"/>
    <n v="2600"/>
    <x v="3"/>
    <n v="4"/>
  </r>
  <r>
    <x v="9"/>
    <d v="2024-04-11T00:00:00"/>
    <x v="4"/>
    <x v="9"/>
    <x v="1"/>
    <x v="9"/>
    <x v="2"/>
    <n v="3"/>
    <n v="2800"/>
    <n v="8400"/>
    <n v="1200"/>
    <x v="0"/>
    <n v="5"/>
  </r>
  <r>
    <x v="10"/>
    <d v="2022-10-22T00:00:00"/>
    <x v="0"/>
    <x v="10"/>
    <x v="3"/>
    <x v="10"/>
    <x v="0"/>
    <n v="4"/>
    <n v="5200"/>
    <n v="20800"/>
    <n v="3100"/>
    <x v="1"/>
    <n v="4"/>
  </r>
  <r>
    <x v="11"/>
    <d v="2023-01-09T00:00:00"/>
    <x v="1"/>
    <x v="11"/>
    <x v="0"/>
    <x v="11"/>
    <x v="4"/>
    <n v="5"/>
    <n v="2400"/>
    <n v="12000"/>
    <n v="1700"/>
    <x v="2"/>
    <n v="3"/>
  </r>
  <r>
    <x v="12"/>
    <d v="2021-07-17T00:00:00"/>
    <x v="2"/>
    <x v="12"/>
    <x v="4"/>
    <x v="12"/>
    <x v="0"/>
    <n v="2"/>
    <n v="6800"/>
    <n v="13600"/>
    <n v="1900"/>
    <x v="0"/>
    <n v="4"/>
  </r>
  <r>
    <x v="13"/>
    <d v="2025-02-04T00:00:00"/>
    <x v="3"/>
    <x v="13"/>
    <x v="2"/>
    <x v="13"/>
    <x v="2"/>
    <n v="6"/>
    <n v="1800"/>
    <n v="10800"/>
    <n v="1600"/>
    <x v="1"/>
    <n v="5"/>
  </r>
  <r>
    <x v="14"/>
    <d v="2022-09-30T00:00:00"/>
    <x v="4"/>
    <x v="14"/>
    <x v="5"/>
    <x v="14"/>
    <x v="0"/>
    <n v="2"/>
    <n v="12500"/>
    <n v="25000"/>
    <n v="3700"/>
    <x v="2"/>
    <n v="4"/>
  </r>
  <r>
    <x v="15"/>
    <d v="2023-05-13T00:00:00"/>
    <x v="0"/>
    <x v="15"/>
    <x v="1"/>
    <x v="0"/>
    <x v="0"/>
    <n v="1"/>
    <n v="68000"/>
    <n v="68000"/>
    <n v="9800"/>
    <x v="4"/>
    <n v="5"/>
  </r>
  <r>
    <x v="16"/>
    <d v="2020-11-28T00:00:00"/>
    <x v="1"/>
    <x v="16"/>
    <x v="0"/>
    <x v="15"/>
    <x v="2"/>
    <n v="10"/>
    <n v="650"/>
    <n v="6500"/>
    <n v="900"/>
    <x v="0"/>
    <n v="3"/>
  </r>
  <r>
    <x v="17"/>
    <d v="2024-06-15T00:00:00"/>
    <x v="2"/>
    <x v="17"/>
    <x v="6"/>
    <x v="2"/>
    <x v="1"/>
    <n v="2"/>
    <n v="13500"/>
    <n v="27000"/>
    <n v="3900"/>
    <x v="1"/>
    <n v="4"/>
  </r>
  <r>
    <x v="18"/>
    <d v="2021-08-09T00:00:00"/>
    <x v="3"/>
    <x v="18"/>
    <x v="3"/>
    <x v="16"/>
    <x v="1"/>
    <n v="1"/>
    <n v="42000"/>
    <n v="42000"/>
    <n v="6300"/>
    <x v="3"/>
    <n v="5"/>
  </r>
  <r>
    <x v="19"/>
    <d v="2025-01-12T00:00:00"/>
    <x v="4"/>
    <x v="19"/>
    <x v="4"/>
    <x v="17"/>
    <x v="1"/>
    <n v="2"/>
    <n v="9800"/>
    <n v="19600"/>
    <n v="2800"/>
    <x v="2"/>
    <n v="4"/>
  </r>
  <r>
    <x v="20"/>
    <d v="2023-04-18T00:00:00"/>
    <x v="0"/>
    <x v="20"/>
    <x v="0"/>
    <x v="1"/>
    <x v="0"/>
    <n v="3"/>
    <n v="21000"/>
    <n v="63000"/>
    <n v="8500"/>
    <x v="0"/>
    <n v="5"/>
  </r>
  <r>
    <x v="21"/>
    <d v="2022-09-30T00:00:00"/>
    <x v="1"/>
    <x v="21"/>
    <x v="2"/>
    <x v="11"/>
    <x v="4"/>
    <n v="4"/>
    <n v="2600"/>
    <n v="10400"/>
    <n v="1500"/>
    <x v="1"/>
    <n v="3"/>
  </r>
  <r>
    <x v="22"/>
    <d v="2024-06-21T00:00:00"/>
    <x v="2"/>
    <x v="22"/>
    <x v="1"/>
    <x v="3"/>
    <x v="2"/>
    <n v="6"/>
    <n v="1100"/>
    <n v="6600"/>
    <n v="850"/>
    <x v="2"/>
    <n v="4"/>
  </r>
  <r>
    <x v="23"/>
    <d v="2021-12-11T00:00:00"/>
    <x v="3"/>
    <x v="23"/>
    <x v="0"/>
    <x v="5"/>
    <x v="2"/>
    <n v="12"/>
    <n v="700"/>
    <n v="8400"/>
    <n v="1200"/>
    <x v="0"/>
    <n v="5"/>
  </r>
  <r>
    <x v="24"/>
    <d v="2025-03-07T00:00:00"/>
    <x v="4"/>
    <x v="24"/>
    <x v="5"/>
    <x v="10"/>
    <x v="0"/>
    <n v="5"/>
    <n v="5100"/>
    <n v="25500"/>
    <n v="3600"/>
    <x v="4"/>
    <n v="4"/>
  </r>
  <r>
    <x v="25"/>
    <d v="2023-08-18T00:00:00"/>
    <x v="0"/>
    <x v="25"/>
    <x v="3"/>
    <x v="6"/>
    <x v="0"/>
    <n v="2"/>
    <n v="19000"/>
    <n v="38000"/>
    <n v="5300"/>
    <x v="1"/>
    <n v="5"/>
  </r>
  <r>
    <x v="26"/>
    <d v="2022-05-16T00:00:00"/>
    <x v="1"/>
    <x v="26"/>
    <x v="6"/>
    <x v="4"/>
    <x v="0"/>
    <n v="2"/>
    <n v="15500"/>
    <n v="31000"/>
    <n v="4500"/>
    <x v="2"/>
    <n v="4"/>
  </r>
  <r>
    <x v="27"/>
    <d v="2020-10-25T00:00:00"/>
    <x v="2"/>
    <x v="27"/>
    <x v="0"/>
    <x v="7"/>
    <x v="3"/>
    <n v="5"/>
    <n v="4200"/>
    <n v="21000"/>
    <n v="2900"/>
    <x v="3"/>
    <n v="3"/>
  </r>
  <r>
    <x v="28"/>
    <d v="2021-07-06T00:00:00"/>
    <x v="3"/>
    <x v="28"/>
    <x v="4"/>
    <x v="9"/>
    <x v="2"/>
    <n v="4"/>
    <n v="2600"/>
    <n v="10400"/>
    <n v="1450"/>
    <x v="0"/>
    <n v="4"/>
  </r>
  <r>
    <x v="29"/>
    <d v="2024-02-20T00:00:00"/>
    <x v="4"/>
    <x v="29"/>
    <x v="1"/>
    <x v="0"/>
    <x v="0"/>
    <n v="1"/>
    <n v="72000"/>
    <n v="72000"/>
    <n v="11200"/>
    <x v="1"/>
    <n v="5"/>
  </r>
  <r>
    <x v="30"/>
    <d v="2023-11-14T00:00:00"/>
    <x v="0"/>
    <x v="30"/>
    <x v="2"/>
    <x v="12"/>
    <x v="0"/>
    <n v="3"/>
    <n v="7200"/>
    <n v="21600"/>
    <n v="3100"/>
    <x v="2"/>
    <n v="4"/>
  </r>
  <r>
    <x v="31"/>
    <d v="2025-04-01T00:00:00"/>
    <x v="1"/>
    <x v="31"/>
    <x v="0"/>
    <x v="13"/>
    <x v="2"/>
    <n v="7"/>
    <n v="1700"/>
    <n v="11900"/>
    <n v="1650"/>
    <x v="0"/>
    <n v="5"/>
  </r>
  <r>
    <x v="32"/>
    <d v="2022-01-28T00:00:00"/>
    <x v="2"/>
    <x v="32"/>
    <x v="3"/>
    <x v="8"/>
    <x v="3"/>
    <n v="2"/>
    <n v="9200"/>
    <n v="18400"/>
    <n v="2500"/>
    <x v="4"/>
    <n v="3"/>
  </r>
  <r>
    <x v="33"/>
    <d v="2021-09-09T00:00:00"/>
    <x v="3"/>
    <x v="33"/>
    <x v="1"/>
    <x v="2"/>
    <x v="1"/>
    <n v="1"/>
    <n v="14500"/>
    <n v="14500"/>
    <n v="2000"/>
    <x v="1"/>
    <n v="4"/>
  </r>
  <r>
    <x v="34"/>
    <d v="2024-12-16T00:00:00"/>
    <x v="4"/>
    <x v="34"/>
    <x v="5"/>
    <x v="1"/>
    <x v="0"/>
    <n v="2"/>
    <n v="24500"/>
    <n v="49000"/>
    <n v="7100"/>
    <x v="0"/>
    <n v="5"/>
  </r>
  <r>
    <x v="35"/>
    <d v="2023-06-30T00:00:00"/>
    <x v="0"/>
    <x v="35"/>
    <x v="6"/>
    <x v="17"/>
    <x v="1"/>
    <n v="2"/>
    <n v="9500"/>
    <n v="19000"/>
    <n v="2600"/>
    <x v="2"/>
    <n v="4"/>
  </r>
  <r>
    <x v="36"/>
    <d v="2022-02-11T00:00:00"/>
    <x v="1"/>
    <x v="36"/>
    <x v="0"/>
    <x v="11"/>
    <x v="4"/>
    <n v="3"/>
    <n v="2800"/>
    <n v="8400"/>
    <n v="1200"/>
    <x v="1"/>
    <n v="3"/>
  </r>
  <r>
    <x v="37"/>
    <d v="2020-08-23T00:00:00"/>
    <x v="2"/>
    <x v="37"/>
    <x v="4"/>
    <x v="14"/>
    <x v="0"/>
    <n v="2"/>
    <n v="13200"/>
    <n v="26400"/>
    <n v="3900"/>
    <x v="0"/>
    <n v="5"/>
  </r>
  <r>
    <x v="38"/>
    <d v="2025-05-17T00:00:00"/>
    <x v="3"/>
    <x v="38"/>
    <x v="2"/>
    <x v="10"/>
    <x v="0"/>
    <n v="4"/>
    <n v="5500"/>
    <n v="22000"/>
    <n v="3200"/>
    <x v="3"/>
    <n v="4"/>
  </r>
  <r>
    <x v="39"/>
    <d v="2023-01-08T00:00:00"/>
    <x v="4"/>
    <x v="39"/>
    <x v="1"/>
    <x v="3"/>
    <x v="2"/>
    <n v="8"/>
    <n v="1000"/>
    <n v="8000"/>
    <n v="1100"/>
    <x v="2"/>
    <n v="4"/>
  </r>
  <r>
    <x v="40"/>
    <d v="2024-09-19T00:00:00"/>
    <x v="0"/>
    <x v="40"/>
    <x v="0"/>
    <x v="16"/>
    <x v="1"/>
    <n v="1"/>
    <n v="45000"/>
    <n v="45000"/>
    <n v="6900"/>
    <x v="1"/>
    <n v="5"/>
  </r>
  <r>
    <x v="41"/>
    <d v="2021-03-13T00:00:00"/>
    <x v="1"/>
    <x v="41"/>
    <x v="3"/>
    <x v="4"/>
    <x v="0"/>
    <n v="2"/>
    <n v="14800"/>
    <n v="29600"/>
    <n v="4300"/>
    <x v="4"/>
    <n v="4"/>
  </r>
  <r>
    <x v="42"/>
    <d v="2022-07-27T00:00:00"/>
    <x v="2"/>
    <x v="42"/>
    <x v="5"/>
    <x v="7"/>
    <x v="3"/>
    <n v="3"/>
    <n v="4100"/>
    <n v="12300"/>
    <n v="1700"/>
    <x v="0"/>
    <n v="3"/>
  </r>
  <r>
    <x v="43"/>
    <d v="2023-11-05T00:00:00"/>
    <x v="3"/>
    <x v="43"/>
    <x v="6"/>
    <x v="6"/>
    <x v="0"/>
    <n v="2"/>
    <n v="20500"/>
    <n v="41000"/>
    <n v="6200"/>
    <x v="1"/>
    <n v="5"/>
  </r>
  <r>
    <x v="44"/>
    <d v="2020-10-21T00:00:00"/>
    <x v="4"/>
    <x v="44"/>
    <x v="0"/>
    <x v="5"/>
    <x v="2"/>
    <n v="15"/>
    <n v="600"/>
    <n v="9000"/>
    <n v="1200"/>
    <x v="2"/>
    <n v="4"/>
  </r>
  <r>
    <x v="45"/>
    <d v="2025-04-14T00:00:00"/>
    <x v="0"/>
    <x v="45"/>
    <x v="2"/>
    <x v="9"/>
    <x v="2"/>
    <n v="5"/>
    <n v="3000"/>
    <n v="15000"/>
    <n v="2200"/>
    <x v="0"/>
    <n v="5"/>
  </r>
  <r>
    <x v="46"/>
    <d v="2022-01-29T00:00:00"/>
    <x v="1"/>
    <x v="46"/>
    <x v="1"/>
    <x v="0"/>
    <x v="0"/>
    <n v="1"/>
    <n v="61000"/>
    <n v="61000"/>
    <n v="8900"/>
    <x v="1"/>
    <n v="5"/>
  </r>
  <r>
    <x v="47"/>
    <d v="2023-09-08T00:00:00"/>
    <x v="2"/>
    <x v="47"/>
    <x v="4"/>
    <x v="2"/>
    <x v="1"/>
    <n v="2"/>
    <n v="12800"/>
    <n v="25600"/>
    <n v="3600"/>
    <x v="3"/>
    <n v="4"/>
  </r>
  <r>
    <x v="48"/>
    <d v="2021-06-10T00:00:00"/>
    <x v="3"/>
    <x v="48"/>
    <x v="0"/>
    <x v="10"/>
    <x v="0"/>
    <n v="3"/>
    <n v="4900"/>
    <n v="14700"/>
    <n v="2100"/>
    <x v="2"/>
    <n v="3"/>
  </r>
  <r>
    <x v="49"/>
    <d v="2024-12-31T00:00:00"/>
    <x v="4"/>
    <x v="49"/>
    <x v="3"/>
    <x v="1"/>
    <x v="0"/>
    <n v="2"/>
    <n v="23500"/>
    <n v="47000"/>
    <n v="6800"/>
    <x v="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63241-20A5-49CF-B796-7E612266CBA5}" name="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9" firstHeaderRow="0" firstDataRow="1" firstDataCol="0"/>
  <pivotFields count="13">
    <pivotField showAll="0"/>
    <pivotField numFmtId="14" showAll="0"/>
    <pivotField showAll="0">
      <items count="6">
        <item x="2"/>
        <item h="1" x="4"/>
        <item h="1" x="3"/>
        <item h="1" x="1"/>
        <item h="1" x="0"/>
        <item t="default"/>
      </items>
    </pivotField>
    <pivotField showAll="0"/>
    <pivotField showAll="0"/>
    <pivotField showAll="0"/>
    <pivotField dataField="1" showAll="0"/>
    <pivotField showAll="0"/>
    <pivotField showAll="0"/>
    <pivotField dataField="1" showAll="0"/>
    <pivotField dataField="1" showAll="0"/>
    <pivotField showAll="0"/>
    <pivotField dataField="1" showAll="0"/>
  </pivotFields>
  <rowItems count="1">
    <i/>
  </rowItems>
  <colFields count="1">
    <field x="-2"/>
  </colFields>
  <colItems count="4">
    <i>
      <x/>
    </i>
    <i i="1">
      <x v="1"/>
    </i>
    <i i="2">
      <x v="2"/>
    </i>
    <i i="3">
      <x v="3"/>
    </i>
  </colItems>
  <dataFields count="4">
    <dataField name="Sum of Profit" fld="10" baseField="0" baseItem="0" numFmtId="164"/>
    <dataField name="Average of Rating" fld="12" subtotal="average" baseField="0" baseItem="1"/>
    <dataField name="Sum of Sales Amount" fld="9" baseField="0" baseItem="0" numFmtId="164"/>
    <dataField name="Count of Categor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035CF3-B65B-4E6F-8EAA-AFB2D38B16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numFmtId="14" showAll="0"/>
    <pivotField showAll="0"/>
    <pivotField showAll="0"/>
    <pivotField showAll="0"/>
    <pivotField showAll="0"/>
    <pivotField dataField="1" showAll="0"/>
    <pivotField showAll="0"/>
    <pivotField showAll="0"/>
    <pivotField dataField="1" showAll="0"/>
    <pivotField dataField="1" showAll="0"/>
    <pivotField showAll="0"/>
    <pivotField dataField="1" showAll="0"/>
  </pivotFields>
  <rowItems count="1">
    <i/>
  </rowItems>
  <colFields count="1">
    <field x="-2"/>
  </colFields>
  <colItems count="4">
    <i>
      <x/>
    </i>
    <i i="1">
      <x v="1"/>
    </i>
    <i i="2">
      <x v="2"/>
    </i>
    <i i="3">
      <x v="3"/>
    </i>
  </colItems>
  <dataFields count="4">
    <dataField name="Sum of Profit" fld="10" baseField="0" baseItem="0" numFmtId="164"/>
    <dataField name="Average of Rating" fld="12" subtotal="average" baseField="0" baseItem="1"/>
    <dataField name="Sum of Sales Amount" fld="9" baseField="0" baseItem="0" numFmtId="164"/>
    <dataField name="Count of Categor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25F34A-48D2-4008-A6F4-A0224EE95213}" name="profit tre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0" firstHeaderRow="1" firstDataRow="1" firstDataCol="1"/>
  <pivotFields count="13">
    <pivotField showAll="0"/>
    <pivotField numFmtId="14" showAll="0"/>
    <pivotField showAll="0">
      <items count="6">
        <item x="2"/>
        <item h="1" x="4"/>
        <item h="1" x="3"/>
        <item h="1" x="1"/>
        <item h="1" x="0"/>
        <item t="default"/>
      </items>
    </pivotField>
    <pivotField showAll="0"/>
    <pivotField axis="axisRow" showAll="0">
      <items count="8">
        <item x="1"/>
        <item x="2"/>
        <item x="4"/>
        <item x="0"/>
        <item x="5"/>
        <item x="3"/>
        <item x="6"/>
        <item t="default"/>
      </items>
    </pivotField>
    <pivotField showAll="0"/>
    <pivotField showAll="0"/>
    <pivotField showAll="0"/>
    <pivotField showAll="0"/>
    <pivotField showAll="0"/>
    <pivotField dataField="1" showAll="0"/>
    <pivotField showAll="0"/>
    <pivotField showAll="0"/>
  </pivotFields>
  <rowFields count="1">
    <field x="4"/>
  </rowFields>
  <rowItems count="7">
    <i>
      <x/>
    </i>
    <i>
      <x v="1"/>
    </i>
    <i>
      <x v="2"/>
    </i>
    <i>
      <x v="3"/>
    </i>
    <i>
      <x v="4"/>
    </i>
    <i>
      <x v="5"/>
    </i>
    <i>
      <x v="6"/>
    </i>
  </rowItems>
  <colItems count="1">
    <i/>
  </colItems>
  <dataFields count="1">
    <dataField name="Sum of Profit" fld="10"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EB6B96-67B8-4E7F-AECF-13238F73E11A}" name="top produc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8" firstHeaderRow="1" firstDataRow="1" firstDataCol="1"/>
  <pivotFields count="13">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pivotField showAll="0">
      <items count="6">
        <item x="2"/>
        <item h="1" x="4"/>
        <item h="1" x="3"/>
        <item h="1" x="1"/>
        <item h="1" x="0"/>
        <item t="default"/>
      </items>
    </pivotField>
    <pivotField showAll="0">
      <items count="51">
        <item x="5"/>
        <item x="33"/>
        <item x="0"/>
        <item x="15"/>
        <item x="4"/>
        <item x="38"/>
        <item x="36"/>
        <item x="19"/>
        <item x="28"/>
        <item x="17"/>
        <item x="6"/>
        <item x="42"/>
        <item x="21"/>
        <item x="12"/>
        <item x="49"/>
        <item x="25"/>
        <item x="11"/>
        <item x="26"/>
        <item x="7"/>
        <item x="13"/>
        <item x="41"/>
        <item x="44"/>
        <item x="24"/>
        <item x="10"/>
        <item x="16"/>
        <item x="47"/>
        <item x="30"/>
        <item x="14"/>
        <item x="35"/>
        <item x="9"/>
        <item x="48"/>
        <item x="29"/>
        <item x="45"/>
        <item x="37"/>
        <item x="20"/>
        <item x="31"/>
        <item x="1"/>
        <item x="34"/>
        <item x="18"/>
        <item x="46"/>
        <item x="39"/>
        <item x="2"/>
        <item x="23"/>
        <item x="27"/>
        <item x="43"/>
        <item x="8"/>
        <item x="32"/>
        <item x="40"/>
        <item x="3"/>
        <item x="22"/>
        <item t="default"/>
      </items>
    </pivotField>
    <pivotField showAll="0"/>
    <pivotField axis="axisRow" showAll="0" measureFilter="1" sortType="descending">
      <items count="19">
        <item x="7"/>
        <item x="8"/>
        <item x="13"/>
        <item x="3"/>
        <item x="0"/>
        <item x="1"/>
        <item x="4"/>
        <item x="5"/>
        <item x="15"/>
        <item x="2"/>
        <item x="16"/>
        <item x="11"/>
        <item x="17"/>
        <item x="14"/>
        <item x="12"/>
        <item x="10"/>
        <item x="6"/>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6">
        <item x="1"/>
        <item x="2"/>
        <item x="4"/>
        <item x="3"/>
        <item x="0"/>
        <item t="default"/>
      </items>
    </pivotField>
    <pivotField showAll="0"/>
  </pivotFields>
  <rowFields count="1">
    <field x="5"/>
  </rowFields>
  <rowItems count="5">
    <i>
      <x v="9"/>
    </i>
    <i>
      <x/>
    </i>
    <i>
      <x v="13"/>
    </i>
    <i>
      <x v="1"/>
    </i>
    <i>
      <x v="14"/>
    </i>
  </rowItems>
  <colItems count="1">
    <i/>
  </colItems>
  <dataFields count="1">
    <dataField name="Sum of Sales Amount" fld="9"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0BF7DC-2627-4E0E-A6D7-5CC7C815AA97}" name="payment mod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B8" firstHeaderRow="1" firstDataRow="1" firstDataCol="1"/>
  <pivotFields count="13">
    <pivotField dataField="1" showAll="0"/>
    <pivotField numFmtId="14" showAll="0"/>
    <pivotField showAll="0">
      <items count="6">
        <item x="2"/>
        <item h="1" x="4"/>
        <item h="1" x="3"/>
        <item h="1" x="1"/>
        <item h="1" x="0"/>
        <item t="default"/>
      </items>
    </pivotField>
    <pivotField showAll="0"/>
    <pivotField showAll="0"/>
    <pivotField showAll="0"/>
    <pivotField showAll="0"/>
    <pivotField showAll="0"/>
    <pivotField showAll="0"/>
    <pivotField showAll="0"/>
    <pivotField showAll="0"/>
    <pivotField axis="axisRow" showAll="0">
      <items count="6">
        <item x="1"/>
        <item x="2"/>
        <item x="4"/>
        <item x="3"/>
        <item x="0"/>
        <item t="default"/>
      </items>
    </pivotField>
    <pivotField showAll="0"/>
  </pivotFields>
  <rowFields count="1">
    <field x="11"/>
  </rowFields>
  <rowItems count="5">
    <i>
      <x/>
    </i>
    <i>
      <x v="1"/>
    </i>
    <i>
      <x v="2"/>
    </i>
    <i>
      <x v="3"/>
    </i>
    <i>
      <x v="4"/>
    </i>
  </rowItems>
  <colItems count="1">
    <i/>
  </colItems>
  <dataFields count="1">
    <dataField name="Count of Order ID" fld="0" subtotal="count" baseField="0" baseItem="0" numFmtId="9"/>
  </dataFields>
  <chartFormats count="22">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1" count="1" selected="0">
            <x v="0"/>
          </reference>
        </references>
      </pivotArea>
    </chartFormat>
    <chartFormat chart="8" format="9">
      <pivotArea type="data" outline="0" fieldPosition="0">
        <references count="2">
          <reference field="4294967294" count="1" selected="0">
            <x v="0"/>
          </reference>
          <reference field="11" count="1" selected="0">
            <x v="1"/>
          </reference>
        </references>
      </pivotArea>
    </chartFormat>
    <chartFormat chart="8" format="10">
      <pivotArea type="data" outline="0" fieldPosition="0">
        <references count="2">
          <reference field="4294967294" count="1" selected="0">
            <x v="0"/>
          </reference>
          <reference field="11" count="1" selected="0">
            <x v="2"/>
          </reference>
        </references>
      </pivotArea>
    </chartFormat>
    <chartFormat chart="8" format="11">
      <pivotArea type="data" outline="0" fieldPosition="0">
        <references count="2">
          <reference field="4294967294" count="1" selected="0">
            <x v="0"/>
          </reference>
          <reference field="11" count="1" selected="0">
            <x v="3"/>
          </reference>
        </references>
      </pivotArea>
    </chartFormat>
    <chartFormat chart="8" format="12">
      <pivotArea type="data" outline="0" fieldPosition="0">
        <references count="2">
          <reference field="4294967294" count="1" selected="0">
            <x v="0"/>
          </reference>
          <reference field="11" count="1" selected="0">
            <x v="4"/>
          </reference>
        </references>
      </pivotArea>
    </chartFormat>
    <chartFormat chart="12" format="0" series="1">
      <pivotArea type="data" outline="0" fieldPosition="0">
        <references count="1">
          <reference field="4294967294" count="1" selected="0">
            <x v="0"/>
          </reference>
        </references>
      </pivotArea>
    </chartFormat>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11" count="1" selected="0">
            <x v="0"/>
          </reference>
        </references>
      </pivotArea>
    </chartFormat>
    <chartFormat chart="14" format="20">
      <pivotArea type="data" outline="0" fieldPosition="0">
        <references count="2">
          <reference field="4294967294" count="1" selected="0">
            <x v="0"/>
          </reference>
          <reference field="11" count="1" selected="0">
            <x v="1"/>
          </reference>
        </references>
      </pivotArea>
    </chartFormat>
    <chartFormat chart="14" format="21">
      <pivotArea type="data" outline="0" fieldPosition="0">
        <references count="2">
          <reference field="4294967294" count="1" selected="0">
            <x v="0"/>
          </reference>
          <reference field="11" count="1" selected="0">
            <x v="2"/>
          </reference>
        </references>
      </pivotArea>
    </chartFormat>
    <chartFormat chart="14" format="22">
      <pivotArea type="data" outline="0" fieldPosition="0">
        <references count="2">
          <reference field="4294967294" count="1" selected="0">
            <x v="0"/>
          </reference>
          <reference field="11" count="1" selected="0">
            <x v="4"/>
          </reference>
        </references>
      </pivotArea>
    </chartFormat>
    <chartFormat chart="12" format="1">
      <pivotArea type="data" outline="0" fieldPosition="0">
        <references count="2">
          <reference field="4294967294" count="1" selected="0">
            <x v="0"/>
          </reference>
          <reference field="11" count="1" selected="0">
            <x v="0"/>
          </reference>
        </references>
      </pivotArea>
    </chartFormat>
    <chartFormat chart="12" format="2">
      <pivotArea type="data" outline="0" fieldPosition="0">
        <references count="2">
          <reference field="4294967294" count="1" selected="0">
            <x v="0"/>
          </reference>
          <reference field="11" count="1" selected="0">
            <x v="4"/>
          </reference>
        </references>
      </pivotArea>
    </chartFormat>
    <chartFormat chart="12" format="3">
      <pivotArea type="data" outline="0" fieldPosition="0">
        <references count="2">
          <reference field="4294967294" count="1" selected="0">
            <x v="0"/>
          </reference>
          <reference field="11" count="1" selected="0">
            <x v="1"/>
          </reference>
        </references>
      </pivotArea>
    </chartFormat>
    <chartFormat chart="12" format="4">
      <pivotArea type="data" outline="0" fieldPosition="0">
        <references count="2">
          <reference field="4294967294" count="1" selected="0">
            <x v="0"/>
          </reference>
          <reference field="11" count="1" selected="0">
            <x v="2"/>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1" count="1" selected="0">
            <x v="0"/>
          </reference>
        </references>
      </pivotArea>
    </chartFormat>
    <chartFormat chart="16" format="12">
      <pivotArea type="data" outline="0" fieldPosition="0">
        <references count="2">
          <reference field="4294967294" count="1" selected="0">
            <x v="0"/>
          </reference>
          <reference field="11" count="1" selected="0">
            <x v="1"/>
          </reference>
        </references>
      </pivotArea>
    </chartFormat>
    <chartFormat chart="16" format="13">
      <pivotArea type="data" outline="0" fieldPosition="0">
        <references count="2">
          <reference field="4294967294" count="1" selected="0">
            <x v="0"/>
          </reference>
          <reference field="11" count="1" selected="0">
            <x v="2"/>
          </reference>
        </references>
      </pivotArea>
    </chartFormat>
    <chartFormat chart="16" format="14">
      <pivotArea type="data" outline="0" fieldPosition="0">
        <references count="2">
          <reference field="4294967294" count="1" selected="0">
            <x v="0"/>
          </reference>
          <reference field="11" count="1" selected="0">
            <x v="4"/>
          </reference>
        </references>
      </pivotArea>
    </chartFormat>
    <chartFormat chart="16" format="15">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72114B-DF7D-47AA-A3E5-B298FEA1711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B9" firstHeaderRow="1" firstDataRow="1" firstDataCol="1"/>
  <pivotFields count="13">
    <pivotField showAll="0"/>
    <pivotField numFmtId="14" showAll="0"/>
    <pivotField showAll="0">
      <items count="6">
        <item x="2"/>
        <item h="1" x="4"/>
        <item h="1" x="3"/>
        <item h="1" x="1"/>
        <item h="1" x="0"/>
        <item t="default"/>
      </items>
    </pivotField>
    <pivotField showAll="0"/>
    <pivotField showAll="0"/>
    <pivotField axis="axisRow" showAll="0" measureFilter="1">
      <items count="19">
        <item x="7"/>
        <item x="8"/>
        <item x="13"/>
        <item x="3"/>
        <item x="0"/>
        <item x="1"/>
        <item x="4"/>
        <item x="5"/>
        <item x="15"/>
        <item x="2"/>
        <item x="16"/>
        <item x="11"/>
        <item x="17"/>
        <item x="14"/>
        <item x="12"/>
        <item x="10"/>
        <item x="6"/>
        <item x="9"/>
        <item t="default"/>
      </items>
    </pivotField>
    <pivotField showAll="0"/>
    <pivotField showAll="0"/>
    <pivotField showAll="0"/>
    <pivotField showAll="0"/>
    <pivotField showAll="0"/>
    <pivotField showAll="0"/>
    <pivotField dataField="1" showAll="0"/>
  </pivotFields>
  <rowFields count="1">
    <field x="5"/>
  </rowFields>
  <rowItems count="6">
    <i>
      <x/>
    </i>
    <i>
      <x v="1"/>
    </i>
    <i>
      <x v="3"/>
    </i>
    <i>
      <x v="9"/>
    </i>
    <i>
      <x v="13"/>
    </i>
    <i>
      <x v="14"/>
    </i>
  </rowItems>
  <colItems count="1">
    <i/>
  </colItems>
  <dataFields count="1">
    <dataField name="Average of Rating" fld="12" subtotal="average" baseField="5" baseItem="0" numFmtId="165"/>
  </dataFields>
  <chartFormats count="2">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6D9EEB-AE0A-4883-BC20-A1288D88E7B0}" name="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3">
    <pivotField showAll="0"/>
    <pivotField numFmtId="14" showAll="0"/>
    <pivotField showAll="0">
      <items count="6">
        <item x="2"/>
        <item h="1" x="4"/>
        <item h="1" x="3"/>
        <item h="1" x="1"/>
        <item h="1" x="0"/>
        <item t="default"/>
      </items>
    </pivotField>
    <pivotField axis="axisRow" showAll="0" measureFilter="1" sortType="descending">
      <items count="51">
        <item x="5"/>
        <item x="33"/>
        <item x="0"/>
        <item x="15"/>
        <item x="4"/>
        <item x="38"/>
        <item x="36"/>
        <item x="19"/>
        <item x="28"/>
        <item x="17"/>
        <item x="6"/>
        <item x="42"/>
        <item x="21"/>
        <item x="12"/>
        <item x="49"/>
        <item x="25"/>
        <item x="11"/>
        <item x="26"/>
        <item x="7"/>
        <item x="13"/>
        <item x="41"/>
        <item x="44"/>
        <item x="24"/>
        <item x="10"/>
        <item x="16"/>
        <item x="47"/>
        <item x="30"/>
        <item x="14"/>
        <item x="35"/>
        <item x="9"/>
        <item x="48"/>
        <item x="29"/>
        <item x="45"/>
        <item x="37"/>
        <item x="20"/>
        <item x="31"/>
        <item x="1"/>
        <item x="34"/>
        <item x="18"/>
        <item x="46"/>
        <item x="39"/>
        <item x="2"/>
        <item x="23"/>
        <item x="27"/>
        <item x="43"/>
        <item x="8"/>
        <item x="32"/>
        <item x="40"/>
        <item x="3"/>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3"/>
  </rowFields>
  <rowItems count="5">
    <i>
      <x v="9"/>
    </i>
    <i>
      <x v="33"/>
    </i>
    <i>
      <x v="25"/>
    </i>
    <i>
      <x v="43"/>
    </i>
    <i>
      <x v="46"/>
    </i>
  </rowItems>
  <colItems count="1">
    <i/>
  </colItems>
  <dataFields count="1">
    <dataField name="Sum of Profit"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047CD1-6438-47D9-A368-C12701C7C0B7}" name="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10" firstHeaderRow="1" firstDataRow="1" firstDataCol="1"/>
  <pivotFields count="13">
    <pivotField showAll="0"/>
    <pivotField numFmtId="14" showAll="0"/>
    <pivotField showAll="0">
      <items count="6">
        <item x="2"/>
        <item h="1" x="4"/>
        <item h="1" x="3"/>
        <item h="1" x="1"/>
        <item h="1" x="0"/>
        <item t="default"/>
      </items>
    </pivotField>
    <pivotField showAll="0"/>
    <pivotField axis="axisRow" showAll="0">
      <items count="8">
        <item x="1"/>
        <item x="2"/>
        <item x="4"/>
        <item x="0"/>
        <item x="5"/>
        <item x="3"/>
        <item x="6"/>
        <item t="default"/>
      </items>
    </pivotField>
    <pivotField showAll="0"/>
    <pivotField showAll="0"/>
    <pivotField showAll="0"/>
    <pivotField showAll="0"/>
    <pivotField showAll="0"/>
    <pivotField dataField="1" showAll="0"/>
    <pivotField showAll="0"/>
    <pivotField showAll="0"/>
  </pivotFields>
  <rowFields count="1">
    <field x="4"/>
  </rowFields>
  <rowItems count="7">
    <i>
      <x/>
    </i>
    <i>
      <x v="1"/>
    </i>
    <i>
      <x v="2"/>
    </i>
    <i>
      <x v="3"/>
    </i>
    <i>
      <x v="4"/>
    </i>
    <i>
      <x v="5"/>
    </i>
    <i>
      <x v="6"/>
    </i>
  </rowItems>
  <colItems count="1">
    <i/>
  </colItems>
  <dataFields count="1">
    <dataField name="Sum of Profit"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0FAA50-0138-4563-812D-7ECCAB795C3F}" name="count of 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0" firstHeaderRow="1" firstDataRow="1" firstDataCol="1"/>
  <pivotFields count="13">
    <pivotField showAll="0"/>
    <pivotField numFmtId="14" showAll="0"/>
    <pivotField showAll="0">
      <items count="6">
        <item x="2"/>
        <item h="1" x="4"/>
        <item h="1" x="3"/>
        <item h="1" x="1"/>
        <item h="1" x="0"/>
        <item t="default"/>
      </items>
    </pivotField>
    <pivotField dataField="1" showAll="0">
      <items count="51">
        <item x="5"/>
        <item x="33"/>
        <item x="0"/>
        <item x="15"/>
        <item x="4"/>
        <item x="38"/>
        <item x="36"/>
        <item x="19"/>
        <item x="28"/>
        <item x="17"/>
        <item x="6"/>
        <item x="42"/>
        <item x="21"/>
        <item x="12"/>
        <item x="49"/>
        <item x="25"/>
        <item x="11"/>
        <item x="26"/>
        <item x="7"/>
        <item x="13"/>
        <item x="41"/>
        <item x="44"/>
        <item x="24"/>
        <item x="10"/>
        <item x="16"/>
        <item x="47"/>
        <item x="30"/>
        <item x="14"/>
        <item x="35"/>
        <item x="9"/>
        <item x="48"/>
        <item x="29"/>
        <item x="45"/>
        <item x="37"/>
        <item x="20"/>
        <item x="31"/>
        <item x="1"/>
        <item x="34"/>
        <item x="18"/>
        <item x="46"/>
        <item x="39"/>
        <item x="2"/>
        <item x="23"/>
        <item x="27"/>
        <item x="43"/>
        <item x="8"/>
        <item x="32"/>
        <item x="40"/>
        <item x="3"/>
        <item x="22"/>
        <item t="default"/>
      </items>
    </pivotField>
    <pivotField axis="axisRow" showAll="0">
      <items count="8">
        <item x="1"/>
        <item x="2"/>
        <item x="4"/>
        <item x="0"/>
        <item x="5"/>
        <item x="3"/>
        <item x="6"/>
        <item t="default"/>
      </items>
    </pivotField>
    <pivotField showAll="0"/>
    <pivotField showAll="0">
      <items count="6">
        <item x="2"/>
        <item x="0"/>
        <item x="3"/>
        <item x="4"/>
        <item x="1"/>
        <item t="default"/>
      </items>
    </pivotField>
    <pivotField showAll="0"/>
    <pivotField showAll="0"/>
    <pivotField showAll="0"/>
    <pivotField showAll="0"/>
    <pivotField showAll="0"/>
    <pivotField showAll="0"/>
  </pivotFields>
  <rowFields count="1">
    <field x="4"/>
  </rowFields>
  <rowItems count="7">
    <i>
      <x/>
    </i>
    <i>
      <x v="1"/>
    </i>
    <i>
      <x v="2"/>
    </i>
    <i>
      <x v="3"/>
    </i>
    <i>
      <x v="4"/>
    </i>
    <i>
      <x v="5"/>
    </i>
    <i>
      <x v="6"/>
    </i>
  </rowItems>
  <colItems count="1">
    <i/>
  </colItems>
  <dataFields count="1">
    <dataField name="Count of Customer Name"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CA78223D-9FC3-4393-97C2-8B86DF2C3046}" sourceName="Sales Rep">
  <pivotTables>
    <pivotTable tabId="2" name="sales rep"/>
    <pivotTable tabId="5" name="profit trend"/>
    <pivotTable tabId="6" name="top products"/>
    <pivotTable tabId="11" name="count of customers"/>
    <pivotTable tabId="9" name="customers"/>
    <pivotTable tabId="7" name="payment mode"/>
    <pivotTable tabId="8" name="PivotTable6"/>
    <pivotTable tabId="10" name="revenue"/>
  </pivotTables>
  <data>
    <tabular pivotCacheId="314620042">
      <items count="5">
        <i x="2" s="1"/>
        <i x="4"/>
        <i x="3"/>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CD3EF675-0932-418E-AB6B-B8E1077A33C0}" cache="Slicer_Sales_Rep" caption="Sales Rep"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384FE-E1B4-4862-AFD7-1698A9809AB5}" name="Table1" displayName="Table1" ref="A1:M51" totalsRowShown="0" headerRowDxfId="14" dataDxfId="13">
  <autoFilter ref="A1:M51" xr:uid="{96F384FE-E1B4-4862-AFD7-1698A9809AB5}"/>
  <tableColumns count="13">
    <tableColumn id="1" xr3:uid="{E63C0518-16C4-4498-81DA-977636F1C201}" name="Order ID" dataDxfId="12"/>
    <tableColumn id="2" xr3:uid="{306102CE-AD49-4284-8183-285A6D89E911}" name="Order Date" dataDxfId="11"/>
    <tableColumn id="3" xr3:uid="{0A991BC7-15A2-43DA-86E3-8843A854CBCD}" name="Sales Rep" dataDxfId="10"/>
    <tableColumn id="4" xr3:uid="{6EAF811C-E00A-4312-8916-F38BB2C14E4D}" name="Customer Name" dataDxfId="9"/>
    <tableColumn id="5" xr3:uid="{0611848D-CBFF-484C-8825-D24B8093FB5E}" name="City" dataDxfId="8"/>
    <tableColumn id="6" xr3:uid="{A7C1B992-3A80-4744-A4CE-AE30138B95C2}" name="Product" dataDxfId="7"/>
    <tableColumn id="7" xr3:uid="{D1C7F765-886F-40A8-8A1C-93379C1A9C6C}" name="Category" dataDxfId="6"/>
    <tableColumn id="8" xr3:uid="{DFCF3608-F608-4DED-B91A-DBE14C3B1CC3}" name="Qty" dataDxfId="5"/>
    <tableColumn id="9" xr3:uid="{3D850C0B-B8E5-497A-8853-42EDB22F84EA}" name="Unit Price" dataDxfId="4"/>
    <tableColumn id="10" xr3:uid="{24C70E20-884D-4F90-9F2C-4E17637BA92A}" name="Sales Amount" dataDxfId="3"/>
    <tableColumn id="11" xr3:uid="{7D44DA25-C5B5-47E2-B2FD-4400B6AC716F}" name="Profit" dataDxfId="2"/>
    <tableColumn id="12" xr3:uid="{C9E16D30-ABFA-4261-8D83-71DFBA4B1A78}" name="Payment Modes" dataDxfId="1"/>
    <tableColumn id="13" xr3:uid="{77FE53F9-27E0-4E14-AA75-02FA0C9D5304}" name="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Smokey Glass">
      <a:fillStyleLst>
        <a:solidFill>
          <a:schemeClr val="phClr"/>
        </a:solidFill>
        <a:gradFill rotWithShape="1">
          <a:gsLst>
            <a:gs pos="0">
              <a:schemeClr val="phClr">
                <a:tint val="83000"/>
                <a:shade val="100000"/>
                <a:satMod val="100000"/>
              </a:schemeClr>
            </a:gs>
            <a:gs pos="100000">
              <a:schemeClr val="phClr">
                <a:tint val="61000"/>
                <a:alpha val="100000"/>
                <a:satMod val="180000"/>
              </a:schemeClr>
            </a:gs>
          </a:gsLst>
          <a:path path="circle">
            <a:fillToRect l="100000" t="100000" r="100000" b="100000"/>
          </a:path>
        </a:gradFill>
        <a:gradFill rotWithShape="1">
          <a:gsLst>
            <a:gs pos="0">
              <a:schemeClr val="phClr">
                <a:shade val="85000"/>
              </a:schemeClr>
            </a:gs>
            <a:gs pos="100000">
              <a:schemeClr val="phClr">
                <a:tint val="90000"/>
                <a:alpha val="100000"/>
                <a:satMod val="180000"/>
              </a:schemeClr>
            </a:gs>
          </a:gsLst>
          <a:path path="circle">
            <a:fillToRect l="100000" t="100000" r="100000" b="100000"/>
          </a:path>
        </a:gradFill>
      </a:fillStyleLst>
      <a:lnStyleLst>
        <a:ln w="9525" cap="flat" cmpd="sng" algn="ctr">
          <a:solidFill>
            <a:schemeClr val="phClr"/>
          </a:solidFill>
          <a:prstDash val="solid"/>
        </a:ln>
        <a:ln w="10795" cap="flat" cmpd="sng" algn="ctr">
          <a:solidFill>
            <a:schemeClr val="phClr"/>
          </a:solidFill>
          <a:prstDash val="solid"/>
        </a:ln>
        <a:ln w="15240" cap="flat" cmpd="sng" algn="ctr">
          <a:solidFill>
            <a:schemeClr val="phClr">
              <a:tint val="25000"/>
              <a:alpha val="25000"/>
            </a:schemeClr>
          </a:solidFill>
          <a:prstDash val="solid"/>
        </a:ln>
      </a:lnStyleLst>
      <a:effectStyleLst>
        <a:effectStyle>
          <a:effectLst/>
        </a:effectStyle>
        <a:effectStyle>
          <a:effectLst/>
        </a:effectStyle>
        <a:effectStyle>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E0D5-269E-42F5-A165-40D7442EE2BC}">
  <dimension ref="A3:D9"/>
  <sheetViews>
    <sheetView workbookViewId="0">
      <selection activeCell="C9" sqref="C9"/>
    </sheetView>
  </sheetViews>
  <sheetFormatPr defaultRowHeight="14.4" x14ac:dyDescent="0.3"/>
  <cols>
    <col min="1" max="1" width="12.109375" bestFit="1" customWidth="1"/>
    <col min="2" max="2" width="16" bestFit="1" customWidth="1"/>
    <col min="3" max="3" width="19.21875" bestFit="1" customWidth="1"/>
    <col min="4" max="4" width="16.44140625" bestFit="1" customWidth="1"/>
  </cols>
  <sheetData>
    <row r="3" spans="1:4" x14ac:dyDescent="0.3">
      <c r="A3" t="s">
        <v>151</v>
      </c>
      <c r="B3" t="s">
        <v>155</v>
      </c>
      <c r="C3" t="s">
        <v>153</v>
      </c>
      <c r="D3" t="s">
        <v>154</v>
      </c>
    </row>
    <row r="4" spans="1:4" x14ac:dyDescent="0.3">
      <c r="A4" s="7">
        <v>191350</v>
      </c>
      <c r="B4">
        <v>4.18</v>
      </c>
      <c r="C4" s="7">
        <v>1330800</v>
      </c>
      <c r="D4">
        <v>50</v>
      </c>
    </row>
    <row r="8" spans="1:4" x14ac:dyDescent="0.3">
      <c r="A8" t="s">
        <v>151</v>
      </c>
      <c r="B8" t="s">
        <v>155</v>
      </c>
      <c r="C8" t="s">
        <v>153</v>
      </c>
      <c r="D8" t="s">
        <v>154</v>
      </c>
    </row>
    <row r="9" spans="1:4" x14ac:dyDescent="0.3">
      <c r="A9" s="7">
        <v>25250</v>
      </c>
      <c r="B9" s="15">
        <v>3.6</v>
      </c>
      <c r="C9" s="7">
        <v>178100</v>
      </c>
      <c r="D9" s="15">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E6B96-4B02-4BBA-9186-4889B8833A92}">
  <dimension ref="A3:B10"/>
  <sheetViews>
    <sheetView workbookViewId="0">
      <selection activeCell="B6" sqref="B6"/>
    </sheetView>
  </sheetViews>
  <sheetFormatPr defaultRowHeight="14.4" x14ac:dyDescent="0.3"/>
  <cols>
    <col min="1" max="1" width="12.5546875" bestFit="1" customWidth="1"/>
    <col min="2" max="3" width="12.109375" bestFit="1" customWidth="1"/>
  </cols>
  <sheetData>
    <row r="3" spans="1:2" x14ac:dyDescent="0.3">
      <c r="A3" s="8" t="s">
        <v>160</v>
      </c>
      <c r="B3" t="s">
        <v>151</v>
      </c>
    </row>
    <row r="4" spans="1:2" x14ac:dyDescent="0.3">
      <c r="A4" s="11" t="s">
        <v>22</v>
      </c>
      <c r="B4" s="15">
        <v>850</v>
      </c>
    </row>
    <row r="5" spans="1:2" x14ac:dyDescent="0.3">
      <c r="A5" s="11" t="s">
        <v>28</v>
      </c>
      <c r="B5" s="15">
        <v>1800</v>
      </c>
    </row>
    <row r="6" spans="1:2" x14ac:dyDescent="0.3">
      <c r="A6" s="11" t="s">
        <v>41</v>
      </c>
      <c r="B6" s="15">
        <v>9400</v>
      </c>
    </row>
    <row r="7" spans="1:2" x14ac:dyDescent="0.3">
      <c r="A7" s="11" t="s">
        <v>15</v>
      </c>
      <c r="B7" s="15">
        <v>2900</v>
      </c>
    </row>
    <row r="8" spans="1:2" x14ac:dyDescent="0.3">
      <c r="A8" s="11" t="s">
        <v>45</v>
      </c>
      <c r="B8" s="15">
        <v>1700</v>
      </c>
    </row>
    <row r="9" spans="1:2" x14ac:dyDescent="0.3">
      <c r="A9" s="11" t="s">
        <v>35</v>
      </c>
      <c r="B9" s="15">
        <v>2500</v>
      </c>
    </row>
    <row r="10" spans="1:2" x14ac:dyDescent="0.3">
      <c r="A10" s="11" t="s">
        <v>51</v>
      </c>
      <c r="B10" s="15">
        <v>6100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460E-5072-4BE2-8C66-792095298A5C}">
  <dimension ref="A3:B8"/>
  <sheetViews>
    <sheetView workbookViewId="0">
      <selection activeCell="F4" sqref="F4"/>
    </sheetView>
  </sheetViews>
  <sheetFormatPr defaultRowHeight="14.4" x14ac:dyDescent="0.3"/>
  <cols>
    <col min="1" max="1" width="12.5546875" bestFit="1" customWidth="1"/>
    <col min="2" max="2" width="19.21875" bestFit="1" customWidth="1"/>
  </cols>
  <sheetData>
    <row r="3" spans="1:2" x14ac:dyDescent="0.3">
      <c r="A3" s="8" t="s">
        <v>160</v>
      </c>
      <c r="B3" t="s">
        <v>153</v>
      </c>
    </row>
    <row r="4" spans="1:2" x14ac:dyDescent="0.3">
      <c r="A4" s="11" t="s">
        <v>29</v>
      </c>
      <c r="B4" s="15">
        <v>64600</v>
      </c>
    </row>
    <row r="5" spans="1:2" x14ac:dyDescent="0.3">
      <c r="A5" s="11" t="s">
        <v>52</v>
      </c>
      <c r="B5" s="15">
        <v>48500</v>
      </c>
    </row>
    <row r="6" spans="1:2" x14ac:dyDescent="0.3">
      <c r="A6" s="11" t="s">
        <v>76</v>
      </c>
      <c r="B6" s="15">
        <v>26400</v>
      </c>
    </row>
    <row r="7" spans="1:2" x14ac:dyDescent="0.3">
      <c r="A7" s="11" t="s">
        <v>56</v>
      </c>
      <c r="B7" s="15">
        <v>18400</v>
      </c>
    </row>
    <row r="8" spans="1:2" x14ac:dyDescent="0.3">
      <c r="A8" s="11" t="s">
        <v>70</v>
      </c>
      <c r="B8" s="15">
        <v>13600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4605-FA88-4EC0-80F8-DAC59808524A}">
  <dimension ref="A3:B8"/>
  <sheetViews>
    <sheetView workbookViewId="0">
      <selection activeCell="B4" sqref="B4"/>
    </sheetView>
  </sheetViews>
  <sheetFormatPr defaultRowHeight="14.4" x14ac:dyDescent="0.3"/>
  <cols>
    <col min="1" max="1" width="12.5546875" bestFit="1" customWidth="1"/>
    <col min="2" max="2" width="15.88671875" bestFit="1" customWidth="1"/>
  </cols>
  <sheetData>
    <row r="3" spans="1:2" x14ac:dyDescent="0.3">
      <c r="A3" s="8" t="s">
        <v>160</v>
      </c>
      <c r="B3" t="s">
        <v>162</v>
      </c>
    </row>
    <row r="4" spans="1:2" x14ac:dyDescent="0.3">
      <c r="A4" s="11" t="s">
        <v>24</v>
      </c>
      <c r="B4" s="14">
        <v>2</v>
      </c>
    </row>
    <row r="5" spans="1:2" x14ac:dyDescent="0.3">
      <c r="A5" s="11" t="s">
        <v>31</v>
      </c>
      <c r="B5" s="14">
        <v>2</v>
      </c>
    </row>
    <row r="6" spans="1:2" x14ac:dyDescent="0.3">
      <c r="A6" s="11" t="s">
        <v>79</v>
      </c>
      <c r="B6" s="14">
        <v>1</v>
      </c>
    </row>
    <row r="7" spans="1:2" x14ac:dyDescent="0.3">
      <c r="A7" s="11" t="s">
        <v>57</v>
      </c>
      <c r="B7" s="14">
        <v>2</v>
      </c>
    </row>
    <row r="8" spans="1:2" x14ac:dyDescent="0.3">
      <c r="A8" s="11" t="s">
        <v>18</v>
      </c>
      <c r="B8" s="14">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C752-1D6C-4129-B13C-B298E64F761D}">
  <dimension ref="A3:B9"/>
  <sheetViews>
    <sheetView workbookViewId="0">
      <selection activeCell="H3" sqref="H3"/>
    </sheetView>
  </sheetViews>
  <sheetFormatPr defaultRowHeight="14.4" x14ac:dyDescent="0.3"/>
  <cols>
    <col min="1" max="1" width="12.5546875" bestFit="1" customWidth="1"/>
    <col min="2" max="2" width="16" bestFit="1" customWidth="1"/>
  </cols>
  <sheetData>
    <row r="3" spans="1:2" x14ac:dyDescent="0.3">
      <c r="A3" s="8" t="s">
        <v>160</v>
      </c>
      <c r="B3" t="s">
        <v>155</v>
      </c>
    </row>
    <row r="4" spans="1:2" x14ac:dyDescent="0.3">
      <c r="A4" s="11" t="s">
        <v>52</v>
      </c>
      <c r="B4" s="12">
        <v>3</v>
      </c>
    </row>
    <row r="5" spans="1:2" x14ac:dyDescent="0.3">
      <c r="A5" s="11" t="s">
        <v>56</v>
      </c>
      <c r="B5" s="12">
        <v>3</v>
      </c>
    </row>
    <row r="6" spans="1:2" x14ac:dyDescent="0.3">
      <c r="A6" s="11" t="s">
        <v>36</v>
      </c>
      <c r="B6" s="12">
        <v>4</v>
      </c>
    </row>
    <row r="7" spans="1:2" x14ac:dyDescent="0.3">
      <c r="A7" s="11" t="s">
        <v>29</v>
      </c>
      <c r="B7" s="12">
        <v>3.6666666666666665</v>
      </c>
    </row>
    <row r="8" spans="1:2" x14ac:dyDescent="0.3">
      <c r="A8" s="11" t="s">
        <v>76</v>
      </c>
      <c r="B8" s="12">
        <v>5</v>
      </c>
    </row>
    <row r="9" spans="1:2" x14ac:dyDescent="0.3">
      <c r="A9" s="11" t="s">
        <v>70</v>
      </c>
      <c r="B9" s="12">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629F9-399A-4437-A7BB-97E08A777148}">
  <dimension ref="A3:B8"/>
  <sheetViews>
    <sheetView workbookViewId="0">
      <selection activeCell="C11" sqref="C11"/>
    </sheetView>
  </sheetViews>
  <sheetFormatPr defaultRowHeight="14.4" x14ac:dyDescent="0.3"/>
  <cols>
    <col min="1" max="1" width="12.5546875" bestFit="1" customWidth="1"/>
    <col min="2" max="2" width="12.109375" bestFit="1" customWidth="1"/>
  </cols>
  <sheetData>
    <row r="3" spans="1:2" x14ac:dyDescent="0.3">
      <c r="A3" s="8" t="s">
        <v>160</v>
      </c>
      <c r="B3" t="s">
        <v>151</v>
      </c>
    </row>
    <row r="4" spans="1:2" x14ac:dyDescent="0.3">
      <c r="A4" s="11" t="s">
        <v>84</v>
      </c>
      <c r="B4" s="15">
        <v>3900</v>
      </c>
    </row>
    <row r="5" spans="1:2" x14ac:dyDescent="0.3">
      <c r="A5" s="11" t="s">
        <v>126</v>
      </c>
      <c r="B5" s="15">
        <v>3900</v>
      </c>
    </row>
    <row r="6" spans="1:2" x14ac:dyDescent="0.3">
      <c r="A6" s="11" t="s">
        <v>146</v>
      </c>
      <c r="B6" s="15">
        <v>3600</v>
      </c>
    </row>
    <row r="7" spans="1:2" x14ac:dyDescent="0.3">
      <c r="A7" s="11" t="s">
        <v>106</v>
      </c>
      <c r="B7" s="15">
        <v>2900</v>
      </c>
    </row>
    <row r="8" spans="1:2" x14ac:dyDescent="0.3">
      <c r="A8" s="11" t="s">
        <v>116</v>
      </c>
      <c r="B8" s="15">
        <v>2500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DB755-7CEB-4890-9DA1-1628BDD28401}">
  <dimension ref="A3:B10"/>
  <sheetViews>
    <sheetView workbookViewId="0">
      <selection activeCell="G2" sqref="G2"/>
    </sheetView>
  </sheetViews>
  <sheetFormatPr defaultRowHeight="14.4" x14ac:dyDescent="0.3"/>
  <cols>
    <col min="1" max="1" width="12.5546875" bestFit="1" customWidth="1"/>
    <col min="2" max="2" width="12.109375" bestFit="1" customWidth="1"/>
  </cols>
  <sheetData>
    <row r="3" spans="1:2" x14ac:dyDescent="0.3">
      <c r="A3" s="8" t="s">
        <v>160</v>
      </c>
      <c r="B3" t="s">
        <v>151</v>
      </c>
    </row>
    <row r="4" spans="1:2" x14ac:dyDescent="0.3">
      <c r="A4" s="11" t="s">
        <v>22</v>
      </c>
      <c r="B4" s="13">
        <v>850</v>
      </c>
    </row>
    <row r="5" spans="1:2" x14ac:dyDescent="0.3">
      <c r="A5" s="11" t="s">
        <v>28</v>
      </c>
      <c r="B5" s="13">
        <v>1800</v>
      </c>
    </row>
    <row r="6" spans="1:2" x14ac:dyDescent="0.3">
      <c r="A6" s="11" t="s">
        <v>41</v>
      </c>
      <c r="B6" s="13">
        <v>9400</v>
      </c>
    </row>
    <row r="7" spans="1:2" x14ac:dyDescent="0.3">
      <c r="A7" s="11" t="s">
        <v>15</v>
      </c>
      <c r="B7" s="13">
        <v>2900</v>
      </c>
    </row>
    <row r="8" spans="1:2" x14ac:dyDescent="0.3">
      <c r="A8" s="11" t="s">
        <v>45</v>
      </c>
      <c r="B8" s="13">
        <v>1700</v>
      </c>
    </row>
    <row r="9" spans="1:2" x14ac:dyDescent="0.3">
      <c r="A9" s="11" t="s">
        <v>35</v>
      </c>
      <c r="B9" s="13">
        <v>2500</v>
      </c>
    </row>
    <row r="10" spans="1:2" x14ac:dyDescent="0.3">
      <c r="A10" s="11" t="s">
        <v>51</v>
      </c>
      <c r="B10" s="13">
        <v>6100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D712-64BE-4252-B078-A4E0EB8C0029}">
  <dimension ref="A3:B10"/>
  <sheetViews>
    <sheetView workbookViewId="0">
      <selection activeCell="H9" sqref="H9"/>
    </sheetView>
  </sheetViews>
  <sheetFormatPr defaultRowHeight="14.4" x14ac:dyDescent="0.3"/>
  <cols>
    <col min="1" max="1" width="12.5546875" bestFit="1" customWidth="1"/>
    <col min="2" max="2" width="22.6640625" bestFit="1" customWidth="1"/>
  </cols>
  <sheetData>
    <row r="3" spans="1:2" x14ac:dyDescent="0.3">
      <c r="A3" s="8" t="s">
        <v>160</v>
      </c>
      <c r="B3" t="s">
        <v>163</v>
      </c>
    </row>
    <row r="4" spans="1:2" x14ac:dyDescent="0.3">
      <c r="A4" s="11" t="s">
        <v>22</v>
      </c>
      <c r="B4" s="15">
        <v>1</v>
      </c>
    </row>
    <row r="5" spans="1:2" x14ac:dyDescent="0.3">
      <c r="A5" s="11" t="s">
        <v>28</v>
      </c>
      <c r="B5" s="15">
        <v>1</v>
      </c>
    </row>
    <row r="6" spans="1:2" x14ac:dyDescent="0.3">
      <c r="A6" s="11" t="s">
        <v>41</v>
      </c>
      <c r="B6" s="15">
        <v>3</v>
      </c>
    </row>
    <row r="7" spans="1:2" x14ac:dyDescent="0.3">
      <c r="A7" s="11" t="s">
        <v>15</v>
      </c>
      <c r="B7" s="15">
        <v>1</v>
      </c>
    </row>
    <row r="8" spans="1:2" x14ac:dyDescent="0.3">
      <c r="A8" s="11" t="s">
        <v>45</v>
      </c>
      <c r="B8" s="15">
        <v>1</v>
      </c>
    </row>
    <row r="9" spans="1:2" x14ac:dyDescent="0.3">
      <c r="A9" s="11" t="s">
        <v>35</v>
      </c>
      <c r="B9" s="15">
        <v>1</v>
      </c>
    </row>
    <row r="10" spans="1:2" x14ac:dyDescent="0.3">
      <c r="A10" s="11" t="s">
        <v>51</v>
      </c>
      <c r="B10" s="15">
        <v>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996C-003B-4BFB-9C7C-2B6C0EC3144B}">
  <dimension ref="A1:M51"/>
  <sheetViews>
    <sheetView workbookViewId="0">
      <selection sqref="A1:XFD1"/>
    </sheetView>
  </sheetViews>
  <sheetFormatPr defaultRowHeight="14.4" x14ac:dyDescent="0.3"/>
  <cols>
    <col min="1" max="1" width="13.109375" customWidth="1"/>
    <col min="2" max="2" width="20.33203125" style="6" customWidth="1"/>
    <col min="3" max="3" width="14.44140625" customWidth="1"/>
    <col min="4" max="4" width="19.5546875" customWidth="1"/>
    <col min="5" max="5" width="12.6640625" customWidth="1"/>
    <col min="6" max="6" width="13.6640625" customWidth="1"/>
    <col min="7" max="7" width="12.88671875" customWidth="1"/>
    <col min="8" max="8" width="8.88671875" style="6"/>
    <col min="9" max="9" width="11" style="6" customWidth="1"/>
    <col min="10" max="10" width="16.88671875" style="6" customWidth="1"/>
    <col min="11" max="11" width="11.33203125" style="6" customWidth="1"/>
    <col min="12" max="12" width="15.88671875" customWidth="1"/>
    <col min="13" max="13" width="8.88671875" style="6"/>
  </cols>
  <sheetData>
    <row r="1" spans="1:13" x14ac:dyDescent="0.3">
      <c r="A1" s="2" t="s">
        <v>0</v>
      </c>
      <c r="B1" s="4" t="s">
        <v>1</v>
      </c>
      <c r="C1" s="2" t="s">
        <v>2</v>
      </c>
      <c r="D1" s="2" t="s">
        <v>3</v>
      </c>
      <c r="E1" s="2" t="s">
        <v>4</v>
      </c>
      <c r="F1" s="2" t="s">
        <v>5</v>
      </c>
      <c r="G1" s="2" t="s">
        <v>6</v>
      </c>
      <c r="H1" s="2" t="s">
        <v>7</v>
      </c>
      <c r="I1" s="2" t="s">
        <v>8</v>
      </c>
      <c r="J1" s="2" t="s">
        <v>9</v>
      </c>
      <c r="K1" s="2" t="s">
        <v>10</v>
      </c>
      <c r="L1" s="2" t="s">
        <v>152</v>
      </c>
      <c r="M1" s="2" t="s">
        <v>11</v>
      </c>
    </row>
    <row r="2" spans="1:13" x14ac:dyDescent="0.3">
      <c r="A2" s="3" t="s">
        <v>12</v>
      </c>
      <c r="B2" s="5">
        <v>45733</v>
      </c>
      <c r="C2" s="3" t="s">
        <v>13</v>
      </c>
      <c r="D2" s="3" t="s">
        <v>14</v>
      </c>
      <c r="E2" s="3" t="s">
        <v>15</v>
      </c>
      <c r="F2" s="3" t="s">
        <v>16</v>
      </c>
      <c r="G2" s="3" t="s">
        <v>17</v>
      </c>
      <c r="H2" s="1">
        <v>2</v>
      </c>
      <c r="I2" s="1">
        <v>52000</v>
      </c>
      <c r="J2" s="1">
        <v>104000</v>
      </c>
      <c r="K2" s="1">
        <v>14500</v>
      </c>
      <c r="L2" s="3" t="s">
        <v>18</v>
      </c>
      <c r="M2" s="1">
        <v>5</v>
      </c>
    </row>
    <row r="3" spans="1:13" x14ac:dyDescent="0.3">
      <c r="A3" s="3" t="s">
        <v>19</v>
      </c>
      <c r="B3" s="5">
        <v>45110</v>
      </c>
      <c r="C3" s="3" t="s">
        <v>20</v>
      </c>
      <c r="D3" s="3" t="s">
        <v>21</v>
      </c>
      <c r="E3" s="3" t="s">
        <v>22</v>
      </c>
      <c r="F3" s="3" t="s">
        <v>23</v>
      </c>
      <c r="G3" s="3" t="s">
        <v>17</v>
      </c>
      <c r="H3" s="1">
        <v>3</v>
      </c>
      <c r="I3" s="1">
        <v>22000</v>
      </c>
      <c r="J3" s="1">
        <v>66000</v>
      </c>
      <c r="K3" s="1">
        <v>9200</v>
      </c>
      <c r="L3" s="3" t="s">
        <v>24</v>
      </c>
      <c r="M3" s="1">
        <v>4</v>
      </c>
    </row>
    <row r="4" spans="1:13" x14ac:dyDescent="0.3">
      <c r="A4" s="3" t="s">
        <v>25</v>
      </c>
      <c r="B4" s="5">
        <v>44518</v>
      </c>
      <c r="C4" s="3" t="s">
        <v>26</v>
      </c>
      <c r="D4" s="3" t="s">
        <v>27</v>
      </c>
      <c r="E4" s="3" t="s">
        <v>28</v>
      </c>
      <c r="F4" s="3" t="s">
        <v>29</v>
      </c>
      <c r="G4" s="3" t="s">
        <v>30</v>
      </c>
      <c r="H4" s="1">
        <v>1</v>
      </c>
      <c r="I4" s="1">
        <v>12000</v>
      </c>
      <c r="J4" s="1">
        <v>12000</v>
      </c>
      <c r="K4" s="1">
        <v>1800</v>
      </c>
      <c r="L4" s="3" t="s">
        <v>31</v>
      </c>
      <c r="M4" s="1">
        <v>3</v>
      </c>
    </row>
    <row r="5" spans="1:13" x14ac:dyDescent="0.3">
      <c r="A5" s="3" t="s">
        <v>32</v>
      </c>
      <c r="B5" s="5">
        <v>45378</v>
      </c>
      <c r="C5" s="3" t="s">
        <v>33</v>
      </c>
      <c r="D5" s="3" t="s">
        <v>34</v>
      </c>
      <c r="E5" s="3" t="s">
        <v>35</v>
      </c>
      <c r="F5" s="3" t="s">
        <v>36</v>
      </c>
      <c r="G5" s="3" t="s">
        <v>37</v>
      </c>
      <c r="H5" s="1">
        <v>5</v>
      </c>
      <c r="I5" s="1">
        <v>1200</v>
      </c>
      <c r="J5" s="1">
        <v>6000</v>
      </c>
      <c r="K5" s="1">
        <v>900</v>
      </c>
      <c r="L5" s="3" t="s">
        <v>18</v>
      </c>
      <c r="M5" s="1">
        <v>4</v>
      </c>
    </row>
    <row r="6" spans="1:13" x14ac:dyDescent="0.3">
      <c r="A6" s="3" t="s">
        <v>38</v>
      </c>
      <c r="B6" s="5">
        <v>44812</v>
      </c>
      <c r="C6" s="3" t="s">
        <v>39</v>
      </c>
      <c r="D6" s="3" t="s">
        <v>40</v>
      </c>
      <c r="E6" s="3" t="s">
        <v>41</v>
      </c>
      <c r="F6" s="3" t="s">
        <v>42</v>
      </c>
      <c r="G6" s="3" t="s">
        <v>17</v>
      </c>
      <c r="H6" s="1">
        <v>2</v>
      </c>
      <c r="I6" s="1">
        <v>14500</v>
      </c>
      <c r="J6" s="1">
        <v>29000</v>
      </c>
      <c r="K6" s="1">
        <v>4100</v>
      </c>
      <c r="L6" s="3" t="s">
        <v>24</v>
      </c>
      <c r="M6" s="1">
        <v>5</v>
      </c>
    </row>
    <row r="7" spans="1:13" x14ac:dyDescent="0.3">
      <c r="A7" s="3" t="s">
        <v>43</v>
      </c>
      <c r="B7" s="5">
        <v>45702</v>
      </c>
      <c r="C7" s="3" t="s">
        <v>13</v>
      </c>
      <c r="D7" s="3" t="s">
        <v>44</v>
      </c>
      <c r="E7" s="3" t="s">
        <v>45</v>
      </c>
      <c r="F7" s="3" t="s">
        <v>46</v>
      </c>
      <c r="G7" s="3" t="s">
        <v>37</v>
      </c>
      <c r="H7" s="1">
        <v>8</v>
      </c>
      <c r="I7" s="1">
        <v>650</v>
      </c>
      <c r="J7" s="1">
        <v>5200</v>
      </c>
      <c r="K7" s="1">
        <v>700</v>
      </c>
      <c r="L7" s="3" t="s">
        <v>31</v>
      </c>
      <c r="M7" s="1">
        <v>4</v>
      </c>
    </row>
    <row r="8" spans="1:13" x14ac:dyDescent="0.3">
      <c r="A8" s="3" t="s">
        <v>47</v>
      </c>
      <c r="B8" s="5">
        <v>44366</v>
      </c>
      <c r="C8" s="3" t="s">
        <v>20</v>
      </c>
      <c r="D8" s="3" t="s">
        <v>48</v>
      </c>
      <c r="E8" s="3" t="s">
        <v>15</v>
      </c>
      <c r="F8" s="3" t="s">
        <v>49</v>
      </c>
      <c r="G8" s="3" t="s">
        <v>17</v>
      </c>
      <c r="H8" s="1">
        <v>2</v>
      </c>
      <c r="I8" s="1">
        <v>18500</v>
      </c>
      <c r="J8" s="1">
        <v>37000</v>
      </c>
      <c r="K8" s="1">
        <v>5200</v>
      </c>
      <c r="L8" s="3" t="s">
        <v>18</v>
      </c>
      <c r="M8" s="1">
        <v>5</v>
      </c>
    </row>
    <row r="9" spans="1:13" x14ac:dyDescent="0.3">
      <c r="A9" s="3" t="s">
        <v>50</v>
      </c>
      <c r="B9" s="5">
        <v>45265</v>
      </c>
      <c r="C9" s="3" t="s">
        <v>26</v>
      </c>
      <c r="D9" s="3" t="s">
        <v>39</v>
      </c>
      <c r="E9" s="3" t="s">
        <v>51</v>
      </c>
      <c r="F9" s="3" t="s">
        <v>52</v>
      </c>
      <c r="G9" s="3" t="s">
        <v>53</v>
      </c>
      <c r="H9" s="1">
        <v>4</v>
      </c>
      <c r="I9" s="1">
        <v>3800</v>
      </c>
      <c r="J9" s="1">
        <v>15200</v>
      </c>
      <c r="K9" s="1">
        <v>2200</v>
      </c>
      <c r="L9" s="3" t="s">
        <v>24</v>
      </c>
      <c r="M9" s="1">
        <v>3</v>
      </c>
    </row>
    <row r="10" spans="1:13" x14ac:dyDescent="0.3">
      <c r="A10" s="3" t="s">
        <v>54</v>
      </c>
      <c r="B10" s="5">
        <v>44068</v>
      </c>
      <c r="C10" s="3" t="s">
        <v>33</v>
      </c>
      <c r="D10" s="3" t="s">
        <v>55</v>
      </c>
      <c r="E10" s="3" t="s">
        <v>28</v>
      </c>
      <c r="F10" s="3" t="s">
        <v>56</v>
      </c>
      <c r="G10" s="3" t="s">
        <v>53</v>
      </c>
      <c r="H10" s="1">
        <v>2</v>
      </c>
      <c r="I10" s="1">
        <v>8500</v>
      </c>
      <c r="J10" s="1">
        <v>17000</v>
      </c>
      <c r="K10" s="1">
        <v>2600</v>
      </c>
      <c r="L10" s="3" t="s">
        <v>57</v>
      </c>
      <c r="M10" s="1">
        <v>4</v>
      </c>
    </row>
    <row r="11" spans="1:13" x14ac:dyDescent="0.3">
      <c r="A11" s="3" t="s">
        <v>58</v>
      </c>
      <c r="B11" s="5">
        <v>45393</v>
      </c>
      <c r="C11" s="3" t="s">
        <v>39</v>
      </c>
      <c r="D11" s="3" t="s">
        <v>59</v>
      </c>
      <c r="E11" s="3" t="s">
        <v>22</v>
      </c>
      <c r="F11" s="3" t="s">
        <v>60</v>
      </c>
      <c r="G11" s="3" t="s">
        <v>37</v>
      </c>
      <c r="H11" s="1">
        <v>3</v>
      </c>
      <c r="I11" s="1">
        <v>2800</v>
      </c>
      <c r="J11" s="1">
        <v>8400</v>
      </c>
      <c r="K11" s="1">
        <v>1200</v>
      </c>
      <c r="L11" s="3" t="s">
        <v>18</v>
      </c>
      <c r="M11" s="1">
        <v>5</v>
      </c>
    </row>
    <row r="12" spans="1:13" x14ac:dyDescent="0.3">
      <c r="A12" s="3" t="s">
        <v>61</v>
      </c>
      <c r="B12" s="5">
        <v>44856</v>
      </c>
      <c r="C12" s="3" t="s">
        <v>13</v>
      </c>
      <c r="D12" s="3" t="s">
        <v>62</v>
      </c>
      <c r="E12" s="3" t="s">
        <v>35</v>
      </c>
      <c r="F12" s="3" t="s">
        <v>63</v>
      </c>
      <c r="G12" s="3" t="s">
        <v>17</v>
      </c>
      <c r="H12" s="1">
        <v>4</v>
      </c>
      <c r="I12" s="1">
        <v>5200</v>
      </c>
      <c r="J12" s="1">
        <v>20800</v>
      </c>
      <c r="K12" s="1">
        <v>3100</v>
      </c>
      <c r="L12" s="3" t="s">
        <v>24</v>
      </c>
      <c r="M12" s="1">
        <v>4</v>
      </c>
    </row>
    <row r="13" spans="1:13" x14ac:dyDescent="0.3">
      <c r="A13" s="3" t="s">
        <v>64</v>
      </c>
      <c r="B13" s="5">
        <v>44935</v>
      </c>
      <c r="C13" s="3" t="s">
        <v>20</v>
      </c>
      <c r="D13" s="3" t="s">
        <v>65</v>
      </c>
      <c r="E13" s="3" t="s">
        <v>15</v>
      </c>
      <c r="F13" s="3" t="s">
        <v>66</v>
      </c>
      <c r="G13" s="3" t="s">
        <v>67</v>
      </c>
      <c r="H13" s="1">
        <v>5</v>
      </c>
      <c r="I13" s="1">
        <v>2400</v>
      </c>
      <c r="J13" s="1">
        <v>12000</v>
      </c>
      <c r="K13" s="1">
        <v>1700</v>
      </c>
      <c r="L13" s="3" t="s">
        <v>31</v>
      </c>
      <c r="M13" s="1">
        <v>3</v>
      </c>
    </row>
    <row r="14" spans="1:13" x14ac:dyDescent="0.3">
      <c r="A14" s="3" t="s">
        <v>68</v>
      </c>
      <c r="B14" s="5">
        <v>44394</v>
      </c>
      <c r="C14" s="3" t="s">
        <v>26</v>
      </c>
      <c r="D14" s="3" t="s">
        <v>69</v>
      </c>
      <c r="E14" s="3" t="s">
        <v>41</v>
      </c>
      <c r="F14" s="3" t="s">
        <v>70</v>
      </c>
      <c r="G14" s="3" t="s">
        <v>17</v>
      </c>
      <c r="H14" s="1">
        <v>2</v>
      </c>
      <c r="I14" s="1">
        <v>6800</v>
      </c>
      <c r="J14" s="1">
        <v>13600</v>
      </c>
      <c r="K14" s="1">
        <v>1900</v>
      </c>
      <c r="L14" s="3" t="s">
        <v>18</v>
      </c>
      <c r="M14" s="1">
        <v>4</v>
      </c>
    </row>
    <row r="15" spans="1:13" x14ac:dyDescent="0.3">
      <c r="A15" s="3" t="s">
        <v>71</v>
      </c>
      <c r="B15" s="5">
        <v>45692</v>
      </c>
      <c r="C15" s="3" t="s">
        <v>33</v>
      </c>
      <c r="D15" s="3" t="s">
        <v>72</v>
      </c>
      <c r="E15" s="3" t="s">
        <v>28</v>
      </c>
      <c r="F15" s="3" t="s">
        <v>73</v>
      </c>
      <c r="G15" s="3" t="s">
        <v>37</v>
      </c>
      <c r="H15" s="1">
        <v>6</v>
      </c>
      <c r="I15" s="1">
        <v>1800</v>
      </c>
      <c r="J15" s="1">
        <v>10800</v>
      </c>
      <c r="K15" s="1">
        <v>1600</v>
      </c>
      <c r="L15" s="3" t="s">
        <v>24</v>
      </c>
      <c r="M15" s="1">
        <v>5</v>
      </c>
    </row>
    <row r="16" spans="1:13" x14ac:dyDescent="0.3">
      <c r="A16" s="3" t="s">
        <v>74</v>
      </c>
      <c r="B16" s="5">
        <v>44834</v>
      </c>
      <c r="C16" s="3" t="s">
        <v>39</v>
      </c>
      <c r="D16" s="3" t="s">
        <v>75</v>
      </c>
      <c r="E16" s="3" t="s">
        <v>45</v>
      </c>
      <c r="F16" s="3" t="s">
        <v>76</v>
      </c>
      <c r="G16" s="3" t="s">
        <v>17</v>
      </c>
      <c r="H16" s="1">
        <v>2</v>
      </c>
      <c r="I16" s="1">
        <v>12500</v>
      </c>
      <c r="J16" s="1">
        <v>25000</v>
      </c>
      <c r="K16" s="1">
        <v>3700</v>
      </c>
      <c r="L16" s="3" t="s">
        <v>31</v>
      </c>
      <c r="M16" s="1">
        <v>4</v>
      </c>
    </row>
    <row r="17" spans="1:13" x14ac:dyDescent="0.3">
      <c r="A17" s="3" t="s">
        <v>77</v>
      </c>
      <c r="B17" s="5">
        <v>45059</v>
      </c>
      <c r="C17" s="3" t="s">
        <v>13</v>
      </c>
      <c r="D17" s="3" t="s">
        <v>78</v>
      </c>
      <c r="E17" s="3" t="s">
        <v>22</v>
      </c>
      <c r="F17" s="3" t="s">
        <v>16</v>
      </c>
      <c r="G17" s="3" t="s">
        <v>17</v>
      </c>
      <c r="H17" s="1">
        <v>1</v>
      </c>
      <c r="I17" s="1">
        <v>68000</v>
      </c>
      <c r="J17" s="1">
        <v>68000</v>
      </c>
      <c r="K17" s="1">
        <v>9800</v>
      </c>
      <c r="L17" s="3" t="s">
        <v>79</v>
      </c>
      <c r="M17" s="1">
        <v>5</v>
      </c>
    </row>
    <row r="18" spans="1:13" x14ac:dyDescent="0.3">
      <c r="A18" s="3" t="s">
        <v>80</v>
      </c>
      <c r="B18" s="5">
        <v>44163</v>
      </c>
      <c r="C18" s="3" t="s">
        <v>20</v>
      </c>
      <c r="D18" s="3" t="s">
        <v>81</v>
      </c>
      <c r="E18" s="3" t="s">
        <v>15</v>
      </c>
      <c r="F18" s="3" t="s">
        <v>82</v>
      </c>
      <c r="G18" s="3" t="s">
        <v>37</v>
      </c>
      <c r="H18" s="1">
        <v>10</v>
      </c>
      <c r="I18" s="1">
        <v>650</v>
      </c>
      <c r="J18" s="1">
        <v>6500</v>
      </c>
      <c r="K18" s="1">
        <v>900</v>
      </c>
      <c r="L18" s="3" t="s">
        <v>18</v>
      </c>
      <c r="M18" s="1">
        <v>3</v>
      </c>
    </row>
    <row r="19" spans="1:13" x14ac:dyDescent="0.3">
      <c r="A19" s="3" t="s">
        <v>83</v>
      </c>
      <c r="B19" s="5">
        <v>45458</v>
      </c>
      <c r="C19" s="3" t="s">
        <v>26</v>
      </c>
      <c r="D19" s="3" t="s">
        <v>84</v>
      </c>
      <c r="E19" s="3" t="s">
        <v>51</v>
      </c>
      <c r="F19" s="3" t="s">
        <v>29</v>
      </c>
      <c r="G19" s="3" t="s">
        <v>30</v>
      </c>
      <c r="H19" s="1">
        <v>2</v>
      </c>
      <c r="I19" s="1">
        <v>13500</v>
      </c>
      <c r="J19" s="1">
        <v>27000</v>
      </c>
      <c r="K19" s="1">
        <v>3900</v>
      </c>
      <c r="L19" s="3" t="s">
        <v>24</v>
      </c>
      <c r="M19" s="1">
        <v>4</v>
      </c>
    </row>
    <row r="20" spans="1:13" x14ac:dyDescent="0.3">
      <c r="A20" s="3" t="s">
        <v>85</v>
      </c>
      <c r="B20" s="5">
        <v>44417</v>
      </c>
      <c r="C20" s="3" t="s">
        <v>33</v>
      </c>
      <c r="D20" s="3" t="s">
        <v>86</v>
      </c>
      <c r="E20" s="3" t="s">
        <v>35</v>
      </c>
      <c r="F20" s="3" t="s">
        <v>87</v>
      </c>
      <c r="G20" s="3" t="s">
        <v>30</v>
      </c>
      <c r="H20" s="1">
        <v>1</v>
      </c>
      <c r="I20" s="1">
        <v>42000</v>
      </c>
      <c r="J20" s="1">
        <v>42000</v>
      </c>
      <c r="K20" s="1">
        <v>6300</v>
      </c>
      <c r="L20" s="3" t="s">
        <v>57</v>
      </c>
      <c r="M20" s="1">
        <v>5</v>
      </c>
    </row>
    <row r="21" spans="1:13" x14ac:dyDescent="0.3">
      <c r="A21" s="3" t="s">
        <v>88</v>
      </c>
      <c r="B21" s="5">
        <v>45669</v>
      </c>
      <c r="C21" s="3" t="s">
        <v>39</v>
      </c>
      <c r="D21" s="3" t="s">
        <v>89</v>
      </c>
      <c r="E21" s="3" t="s">
        <v>41</v>
      </c>
      <c r="F21" s="3" t="s">
        <v>90</v>
      </c>
      <c r="G21" s="3" t="s">
        <v>30</v>
      </c>
      <c r="H21" s="1">
        <v>2</v>
      </c>
      <c r="I21" s="1">
        <v>9800</v>
      </c>
      <c r="J21" s="1">
        <v>19600</v>
      </c>
      <c r="K21" s="1">
        <v>2800</v>
      </c>
      <c r="L21" s="3" t="s">
        <v>31</v>
      </c>
      <c r="M21" s="1">
        <v>4</v>
      </c>
    </row>
    <row r="22" spans="1:13" x14ac:dyDescent="0.3">
      <c r="A22" s="3" t="s">
        <v>91</v>
      </c>
      <c r="B22" s="5">
        <v>45034</v>
      </c>
      <c r="C22" s="3" t="s">
        <v>13</v>
      </c>
      <c r="D22" s="3" t="s">
        <v>92</v>
      </c>
      <c r="E22" s="3" t="s">
        <v>15</v>
      </c>
      <c r="F22" s="3" t="s">
        <v>23</v>
      </c>
      <c r="G22" s="3" t="s">
        <v>17</v>
      </c>
      <c r="H22" s="1">
        <v>3</v>
      </c>
      <c r="I22" s="1">
        <v>21000</v>
      </c>
      <c r="J22" s="1">
        <v>63000</v>
      </c>
      <c r="K22" s="1">
        <v>8500</v>
      </c>
      <c r="L22" s="3" t="s">
        <v>18</v>
      </c>
      <c r="M22" s="1">
        <v>5</v>
      </c>
    </row>
    <row r="23" spans="1:13" x14ac:dyDescent="0.3">
      <c r="A23" s="3" t="s">
        <v>93</v>
      </c>
      <c r="B23" s="5">
        <v>44834</v>
      </c>
      <c r="C23" s="3" t="s">
        <v>20</v>
      </c>
      <c r="D23" s="3" t="s">
        <v>94</v>
      </c>
      <c r="E23" s="3" t="s">
        <v>28</v>
      </c>
      <c r="F23" s="3" t="s">
        <v>66</v>
      </c>
      <c r="G23" s="3" t="s">
        <v>67</v>
      </c>
      <c r="H23" s="1">
        <v>4</v>
      </c>
      <c r="I23" s="1">
        <v>2600</v>
      </c>
      <c r="J23" s="1">
        <v>10400</v>
      </c>
      <c r="K23" s="1">
        <v>1500</v>
      </c>
      <c r="L23" s="3" t="s">
        <v>24</v>
      </c>
      <c r="M23" s="1">
        <v>3</v>
      </c>
    </row>
    <row r="24" spans="1:13" x14ac:dyDescent="0.3">
      <c r="A24" s="3" t="s">
        <v>95</v>
      </c>
      <c r="B24" s="5">
        <v>45464</v>
      </c>
      <c r="C24" s="3" t="s">
        <v>26</v>
      </c>
      <c r="D24" s="3" t="s">
        <v>96</v>
      </c>
      <c r="E24" s="3" t="s">
        <v>22</v>
      </c>
      <c r="F24" s="3" t="s">
        <v>36</v>
      </c>
      <c r="G24" s="3" t="s">
        <v>37</v>
      </c>
      <c r="H24" s="1">
        <v>6</v>
      </c>
      <c r="I24" s="1">
        <v>1100</v>
      </c>
      <c r="J24" s="1">
        <v>6600</v>
      </c>
      <c r="K24" s="1">
        <v>850</v>
      </c>
      <c r="L24" s="3" t="s">
        <v>31</v>
      </c>
      <c r="M24" s="1">
        <v>4</v>
      </c>
    </row>
    <row r="25" spans="1:13" x14ac:dyDescent="0.3">
      <c r="A25" s="3" t="s">
        <v>97</v>
      </c>
      <c r="B25" s="5">
        <v>44541</v>
      </c>
      <c r="C25" s="3" t="s">
        <v>33</v>
      </c>
      <c r="D25" s="3" t="s">
        <v>98</v>
      </c>
      <c r="E25" s="3" t="s">
        <v>15</v>
      </c>
      <c r="F25" s="3" t="s">
        <v>46</v>
      </c>
      <c r="G25" s="3" t="s">
        <v>37</v>
      </c>
      <c r="H25" s="1">
        <v>12</v>
      </c>
      <c r="I25" s="1">
        <v>700</v>
      </c>
      <c r="J25" s="1">
        <v>8400</v>
      </c>
      <c r="K25" s="1">
        <v>1200</v>
      </c>
      <c r="L25" s="3" t="s">
        <v>18</v>
      </c>
      <c r="M25" s="1">
        <v>5</v>
      </c>
    </row>
    <row r="26" spans="1:13" x14ac:dyDescent="0.3">
      <c r="A26" s="3" t="s">
        <v>99</v>
      </c>
      <c r="B26" s="5">
        <v>45723</v>
      </c>
      <c r="C26" s="3" t="s">
        <v>39</v>
      </c>
      <c r="D26" s="3" t="s">
        <v>100</v>
      </c>
      <c r="E26" s="3" t="s">
        <v>45</v>
      </c>
      <c r="F26" s="3" t="s">
        <v>63</v>
      </c>
      <c r="G26" s="3" t="s">
        <v>17</v>
      </c>
      <c r="H26" s="1">
        <v>5</v>
      </c>
      <c r="I26" s="1">
        <v>5100</v>
      </c>
      <c r="J26" s="1">
        <v>25500</v>
      </c>
      <c r="K26" s="1">
        <v>3600</v>
      </c>
      <c r="L26" s="3" t="s">
        <v>79</v>
      </c>
      <c r="M26" s="1">
        <v>4</v>
      </c>
    </row>
    <row r="27" spans="1:13" x14ac:dyDescent="0.3">
      <c r="A27" s="3" t="s">
        <v>101</v>
      </c>
      <c r="B27" s="5">
        <v>45156</v>
      </c>
      <c r="C27" s="3" t="s">
        <v>13</v>
      </c>
      <c r="D27" s="3" t="s">
        <v>102</v>
      </c>
      <c r="E27" s="3" t="s">
        <v>35</v>
      </c>
      <c r="F27" s="3" t="s">
        <v>49</v>
      </c>
      <c r="G27" s="3" t="s">
        <v>17</v>
      </c>
      <c r="H27" s="1">
        <v>2</v>
      </c>
      <c r="I27" s="1">
        <v>19000</v>
      </c>
      <c r="J27" s="1">
        <v>38000</v>
      </c>
      <c r="K27" s="1">
        <v>5300</v>
      </c>
      <c r="L27" s="3" t="s">
        <v>24</v>
      </c>
      <c r="M27" s="1">
        <v>5</v>
      </c>
    </row>
    <row r="28" spans="1:13" x14ac:dyDescent="0.3">
      <c r="A28" s="3" t="s">
        <v>103</v>
      </c>
      <c r="B28" s="5">
        <v>44697</v>
      </c>
      <c r="C28" s="3" t="s">
        <v>20</v>
      </c>
      <c r="D28" s="3" t="s">
        <v>104</v>
      </c>
      <c r="E28" s="3" t="s">
        <v>51</v>
      </c>
      <c r="F28" s="3" t="s">
        <v>42</v>
      </c>
      <c r="G28" s="3" t="s">
        <v>17</v>
      </c>
      <c r="H28" s="1">
        <v>2</v>
      </c>
      <c r="I28" s="1">
        <v>15500</v>
      </c>
      <c r="J28" s="1">
        <v>31000</v>
      </c>
      <c r="K28" s="1">
        <v>4500</v>
      </c>
      <c r="L28" s="3" t="s">
        <v>31</v>
      </c>
      <c r="M28" s="1">
        <v>4</v>
      </c>
    </row>
    <row r="29" spans="1:13" x14ac:dyDescent="0.3">
      <c r="A29" s="3" t="s">
        <v>105</v>
      </c>
      <c r="B29" s="5">
        <v>44129</v>
      </c>
      <c r="C29" s="3" t="s">
        <v>26</v>
      </c>
      <c r="D29" s="3" t="s">
        <v>106</v>
      </c>
      <c r="E29" s="3" t="s">
        <v>15</v>
      </c>
      <c r="F29" s="3" t="s">
        <v>52</v>
      </c>
      <c r="G29" s="3" t="s">
        <v>53</v>
      </c>
      <c r="H29" s="1">
        <v>5</v>
      </c>
      <c r="I29" s="1">
        <v>4200</v>
      </c>
      <c r="J29" s="1">
        <v>21000</v>
      </c>
      <c r="K29" s="1">
        <v>2900</v>
      </c>
      <c r="L29" s="3" t="s">
        <v>57</v>
      </c>
      <c r="M29" s="1">
        <v>3</v>
      </c>
    </row>
    <row r="30" spans="1:13" x14ac:dyDescent="0.3">
      <c r="A30" s="3" t="s">
        <v>107</v>
      </c>
      <c r="B30" s="5">
        <v>44383</v>
      </c>
      <c r="C30" s="3" t="s">
        <v>33</v>
      </c>
      <c r="D30" s="3" t="s">
        <v>108</v>
      </c>
      <c r="E30" s="3" t="s">
        <v>41</v>
      </c>
      <c r="F30" s="3" t="s">
        <v>60</v>
      </c>
      <c r="G30" s="3" t="s">
        <v>37</v>
      </c>
      <c r="H30" s="1">
        <v>4</v>
      </c>
      <c r="I30" s="1">
        <v>2600</v>
      </c>
      <c r="J30" s="1">
        <v>10400</v>
      </c>
      <c r="K30" s="1">
        <v>1450</v>
      </c>
      <c r="L30" s="3" t="s">
        <v>18</v>
      </c>
      <c r="M30" s="1">
        <v>4</v>
      </c>
    </row>
    <row r="31" spans="1:13" x14ac:dyDescent="0.3">
      <c r="A31" s="3" t="s">
        <v>109</v>
      </c>
      <c r="B31" s="5">
        <v>45342</v>
      </c>
      <c r="C31" s="3" t="s">
        <v>39</v>
      </c>
      <c r="D31" s="3" t="s">
        <v>110</v>
      </c>
      <c r="E31" s="3" t="s">
        <v>22</v>
      </c>
      <c r="F31" s="3" t="s">
        <v>16</v>
      </c>
      <c r="G31" s="3" t="s">
        <v>17</v>
      </c>
      <c r="H31" s="1">
        <v>1</v>
      </c>
      <c r="I31" s="1">
        <v>72000</v>
      </c>
      <c r="J31" s="1">
        <v>72000</v>
      </c>
      <c r="K31" s="1">
        <v>11200</v>
      </c>
      <c r="L31" s="3" t="s">
        <v>24</v>
      </c>
      <c r="M31" s="1">
        <v>5</v>
      </c>
    </row>
    <row r="32" spans="1:13" x14ac:dyDescent="0.3">
      <c r="A32" s="3" t="s">
        <v>111</v>
      </c>
      <c r="B32" s="5">
        <v>45244</v>
      </c>
      <c r="C32" s="3" t="s">
        <v>13</v>
      </c>
      <c r="D32" s="3" t="s">
        <v>112</v>
      </c>
      <c r="E32" s="3" t="s">
        <v>28</v>
      </c>
      <c r="F32" s="3" t="s">
        <v>70</v>
      </c>
      <c r="G32" s="3" t="s">
        <v>17</v>
      </c>
      <c r="H32" s="1">
        <v>3</v>
      </c>
      <c r="I32" s="1">
        <v>7200</v>
      </c>
      <c r="J32" s="1">
        <v>21600</v>
      </c>
      <c r="K32" s="1">
        <v>3100</v>
      </c>
      <c r="L32" s="3" t="s">
        <v>31</v>
      </c>
      <c r="M32" s="1">
        <v>4</v>
      </c>
    </row>
    <row r="33" spans="1:13" x14ac:dyDescent="0.3">
      <c r="A33" s="3" t="s">
        <v>113</v>
      </c>
      <c r="B33" s="5">
        <v>45748</v>
      </c>
      <c r="C33" s="3" t="s">
        <v>20</v>
      </c>
      <c r="D33" s="3" t="s">
        <v>114</v>
      </c>
      <c r="E33" s="3" t="s">
        <v>15</v>
      </c>
      <c r="F33" s="3" t="s">
        <v>73</v>
      </c>
      <c r="G33" s="3" t="s">
        <v>37</v>
      </c>
      <c r="H33" s="1">
        <v>7</v>
      </c>
      <c r="I33" s="1">
        <v>1700</v>
      </c>
      <c r="J33" s="1">
        <v>11900</v>
      </c>
      <c r="K33" s="1">
        <v>1650</v>
      </c>
      <c r="L33" s="3" t="s">
        <v>18</v>
      </c>
      <c r="M33" s="1">
        <v>5</v>
      </c>
    </row>
    <row r="34" spans="1:13" x14ac:dyDescent="0.3">
      <c r="A34" s="3" t="s">
        <v>115</v>
      </c>
      <c r="B34" s="5">
        <v>44589</v>
      </c>
      <c r="C34" s="3" t="s">
        <v>26</v>
      </c>
      <c r="D34" s="3" t="s">
        <v>116</v>
      </c>
      <c r="E34" s="3" t="s">
        <v>35</v>
      </c>
      <c r="F34" s="3" t="s">
        <v>56</v>
      </c>
      <c r="G34" s="3" t="s">
        <v>53</v>
      </c>
      <c r="H34" s="1">
        <v>2</v>
      </c>
      <c r="I34" s="1">
        <v>9200</v>
      </c>
      <c r="J34" s="1">
        <v>18400</v>
      </c>
      <c r="K34" s="1">
        <v>2500</v>
      </c>
      <c r="L34" s="3" t="s">
        <v>79</v>
      </c>
      <c r="M34" s="1">
        <v>3</v>
      </c>
    </row>
    <row r="35" spans="1:13" x14ac:dyDescent="0.3">
      <c r="A35" s="3" t="s">
        <v>117</v>
      </c>
      <c r="B35" s="5">
        <v>44448</v>
      </c>
      <c r="C35" s="3" t="s">
        <v>33</v>
      </c>
      <c r="D35" s="3" t="s">
        <v>118</v>
      </c>
      <c r="E35" s="3" t="s">
        <v>22</v>
      </c>
      <c r="F35" s="3" t="s">
        <v>29</v>
      </c>
      <c r="G35" s="3" t="s">
        <v>30</v>
      </c>
      <c r="H35" s="1">
        <v>1</v>
      </c>
      <c r="I35" s="1">
        <v>14500</v>
      </c>
      <c r="J35" s="1">
        <v>14500</v>
      </c>
      <c r="K35" s="1">
        <v>2000</v>
      </c>
      <c r="L35" s="3" t="s">
        <v>24</v>
      </c>
      <c r="M35" s="1">
        <v>4</v>
      </c>
    </row>
    <row r="36" spans="1:13" x14ac:dyDescent="0.3">
      <c r="A36" s="3" t="s">
        <v>119</v>
      </c>
      <c r="B36" s="5">
        <v>45642</v>
      </c>
      <c r="C36" s="3" t="s">
        <v>39</v>
      </c>
      <c r="D36" s="3" t="s">
        <v>120</v>
      </c>
      <c r="E36" s="3" t="s">
        <v>45</v>
      </c>
      <c r="F36" s="3" t="s">
        <v>23</v>
      </c>
      <c r="G36" s="3" t="s">
        <v>17</v>
      </c>
      <c r="H36" s="1">
        <v>2</v>
      </c>
      <c r="I36" s="1">
        <v>24500</v>
      </c>
      <c r="J36" s="1">
        <v>49000</v>
      </c>
      <c r="K36" s="1">
        <v>7100</v>
      </c>
      <c r="L36" s="3" t="s">
        <v>18</v>
      </c>
      <c r="M36" s="1">
        <v>5</v>
      </c>
    </row>
    <row r="37" spans="1:13" x14ac:dyDescent="0.3">
      <c r="A37" s="3" t="s">
        <v>121</v>
      </c>
      <c r="B37" s="5">
        <v>45107</v>
      </c>
      <c r="C37" s="3" t="s">
        <v>13</v>
      </c>
      <c r="D37" s="3" t="s">
        <v>122</v>
      </c>
      <c r="E37" s="3" t="s">
        <v>51</v>
      </c>
      <c r="F37" s="3" t="s">
        <v>90</v>
      </c>
      <c r="G37" s="3" t="s">
        <v>30</v>
      </c>
      <c r="H37" s="1">
        <v>2</v>
      </c>
      <c r="I37" s="1">
        <v>9500</v>
      </c>
      <c r="J37" s="1">
        <v>19000</v>
      </c>
      <c r="K37" s="1">
        <v>2600</v>
      </c>
      <c r="L37" s="3" t="s">
        <v>31</v>
      </c>
      <c r="M37" s="1">
        <v>4</v>
      </c>
    </row>
    <row r="38" spans="1:13" x14ac:dyDescent="0.3">
      <c r="A38" s="3" t="s">
        <v>123</v>
      </c>
      <c r="B38" s="5">
        <v>44603</v>
      </c>
      <c r="C38" s="3" t="s">
        <v>20</v>
      </c>
      <c r="D38" s="3" t="s">
        <v>124</v>
      </c>
      <c r="E38" s="3" t="s">
        <v>15</v>
      </c>
      <c r="F38" s="3" t="s">
        <v>66</v>
      </c>
      <c r="G38" s="3" t="s">
        <v>67</v>
      </c>
      <c r="H38" s="1">
        <v>3</v>
      </c>
      <c r="I38" s="1">
        <v>2800</v>
      </c>
      <c r="J38" s="1">
        <v>8400</v>
      </c>
      <c r="K38" s="1">
        <v>1200</v>
      </c>
      <c r="L38" s="3" t="s">
        <v>24</v>
      </c>
      <c r="M38" s="1">
        <v>3</v>
      </c>
    </row>
    <row r="39" spans="1:13" x14ac:dyDescent="0.3">
      <c r="A39" s="3" t="s">
        <v>125</v>
      </c>
      <c r="B39" s="5">
        <v>44066</v>
      </c>
      <c r="C39" s="3" t="s">
        <v>26</v>
      </c>
      <c r="D39" s="3" t="s">
        <v>126</v>
      </c>
      <c r="E39" s="3" t="s">
        <v>41</v>
      </c>
      <c r="F39" s="3" t="s">
        <v>76</v>
      </c>
      <c r="G39" s="3" t="s">
        <v>17</v>
      </c>
      <c r="H39" s="1">
        <v>2</v>
      </c>
      <c r="I39" s="1">
        <v>13200</v>
      </c>
      <c r="J39" s="1">
        <v>26400</v>
      </c>
      <c r="K39" s="1">
        <v>3900</v>
      </c>
      <c r="L39" s="3" t="s">
        <v>18</v>
      </c>
      <c r="M39" s="1">
        <v>5</v>
      </c>
    </row>
    <row r="40" spans="1:13" x14ac:dyDescent="0.3">
      <c r="A40" s="3" t="s">
        <v>127</v>
      </c>
      <c r="B40" s="5">
        <v>45794</v>
      </c>
      <c r="C40" s="3" t="s">
        <v>33</v>
      </c>
      <c r="D40" s="3" t="s">
        <v>128</v>
      </c>
      <c r="E40" s="3" t="s">
        <v>28</v>
      </c>
      <c r="F40" s="3" t="s">
        <v>63</v>
      </c>
      <c r="G40" s="3" t="s">
        <v>17</v>
      </c>
      <c r="H40" s="1">
        <v>4</v>
      </c>
      <c r="I40" s="1">
        <v>5500</v>
      </c>
      <c r="J40" s="1">
        <v>22000</v>
      </c>
      <c r="K40" s="1">
        <v>3200</v>
      </c>
      <c r="L40" s="3" t="s">
        <v>57</v>
      </c>
      <c r="M40" s="1">
        <v>4</v>
      </c>
    </row>
    <row r="41" spans="1:13" x14ac:dyDescent="0.3">
      <c r="A41" s="3" t="s">
        <v>129</v>
      </c>
      <c r="B41" s="5">
        <v>44934</v>
      </c>
      <c r="C41" s="3" t="s">
        <v>39</v>
      </c>
      <c r="D41" s="3" t="s">
        <v>130</v>
      </c>
      <c r="E41" s="3" t="s">
        <v>22</v>
      </c>
      <c r="F41" s="3" t="s">
        <v>36</v>
      </c>
      <c r="G41" s="3" t="s">
        <v>37</v>
      </c>
      <c r="H41" s="1">
        <v>8</v>
      </c>
      <c r="I41" s="1">
        <v>1000</v>
      </c>
      <c r="J41" s="1">
        <v>8000</v>
      </c>
      <c r="K41" s="1">
        <v>1100</v>
      </c>
      <c r="L41" s="3" t="s">
        <v>31</v>
      </c>
      <c r="M41" s="1">
        <v>4</v>
      </c>
    </row>
    <row r="42" spans="1:13" x14ac:dyDescent="0.3">
      <c r="A42" s="3" t="s">
        <v>131</v>
      </c>
      <c r="B42" s="5">
        <v>45554</v>
      </c>
      <c r="C42" s="3" t="s">
        <v>13</v>
      </c>
      <c r="D42" s="3" t="s">
        <v>132</v>
      </c>
      <c r="E42" s="3" t="s">
        <v>15</v>
      </c>
      <c r="F42" s="3" t="s">
        <v>87</v>
      </c>
      <c r="G42" s="3" t="s">
        <v>30</v>
      </c>
      <c r="H42" s="1">
        <v>1</v>
      </c>
      <c r="I42" s="1">
        <v>45000</v>
      </c>
      <c r="J42" s="1">
        <v>45000</v>
      </c>
      <c r="K42" s="1">
        <v>6900</v>
      </c>
      <c r="L42" s="3" t="s">
        <v>24</v>
      </c>
      <c r="M42" s="1">
        <v>5</v>
      </c>
    </row>
    <row r="43" spans="1:13" x14ac:dyDescent="0.3">
      <c r="A43" s="3" t="s">
        <v>133</v>
      </c>
      <c r="B43" s="5">
        <v>44268</v>
      </c>
      <c r="C43" s="3" t="s">
        <v>20</v>
      </c>
      <c r="D43" s="3" t="s">
        <v>134</v>
      </c>
      <c r="E43" s="3" t="s">
        <v>35</v>
      </c>
      <c r="F43" s="3" t="s">
        <v>42</v>
      </c>
      <c r="G43" s="3" t="s">
        <v>17</v>
      </c>
      <c r="H43" s="1">
        <v>2</v>
      </c>
      <c r="I43" s="1">
        <v>14800</v>
      </c>
      <c r="J43" s="1">
        <v>29600</v>
      </c>
      <c r="K43" s="1">
        <v>4300</v>
      </c>
      <c r="L43" s="3" t="s">
        <v>79</v>
      </c>
      <c r="M43" s="1">
        <v>4</v>
      </c>
    </row>
    <row r="44" spans="1:13" x14ac:dyDescent="0.3">
      <c r="A44" s="3" t="s">
        <v>135</v>
      </c>
      <c r="B44" s="5">
        <v>44769</v>
      </c>
      <c r="C44" s="3" t="s">
        <v>26</v>
      </c>
      <c r="D44" s="3" t="s">
        <v>136</v>
      </c>
      <c r="E44" s="3" t="s">
        <v>45</v>
      </c>
      <c r="F44" s="3" t="s">
        <v>52</v>
      </c>
      <c r="G44" s="3" t="s">
        <v>53</v>
      </c>
      <c r="H44" s="1">
        <v>3</v>
      </c>
      <c r="I44" s="1">
        <v>4100</v>
      </c>
      <c r="J44" s="1">
        <v>12300</v>
      </c>
      <c r="K44" s="1">
        <v>1700</v>
      </c>
      <c r="L44" s="3" t="s">
        <v>18</v>
      </c>
      <c r="M44" s="1">
        <v>3</v>
      </c>
    </row>
    <row r="45" spans="1:13" x14ac:dyDescent="0.3">
      <c r="A45" s="3" t="s">
        <v>137</v>
      </c>
      <c r="B45" s="5">
        <v>45235</v>
      </c>
      <c r="C45" s="3" t="s">
        <v>33</v>
      </c>
      <c r="D45" s="3" t="s">
        <v>138</v>
      </c>
      <c r="E45" s="3" t="s">
        <v>51</v>
      </c>
      <c r="F45" s="3" t="s">
        <v>49</v>
      </c>
      <c r="G45" s="3" t="s">
        <v>17</v>
      </c>
      <c r="H45" s="1">
        <v>2</v>
      </c>
      <c r="I45" s="1">
        <v>20500</v>
      </c>
      <c r="J45" s="1">
        <v>41000</v>
      </c>
      <c r="K45" s="1">
        <v>6200</v>
      </c>
      <c r="L45" s="3" t="s">
        <v>24</v>
      </c>
      <c r="M45" s="1">
        <v>5</v>
      </c>
    </row>
    <row r="46" spans="1:13" x14ac:dyDescent="0.3">
      <c r="A46" s="3" t="s">
        <v>139</v>
      </c>
      <c r="B46" s="5">
        <v>44125</v>
      </c>
      <c r="C46" s="3" t="s">
        <v>39</v>
      </c>
      <c r="D46" s="3" t="s">
        <v>140</v>
      </c>
      <c r="E46" s="3" t="s">
        <v>15</v>
      </c>
      <c r="F46" s="3" t="s">
        <v>46</v>
      </c>
      <c r="G46" s="3" t="s">
        <v>37</v>
      </c>
      <c r="H46" s="1">
        <v>15</v>
      </c>
      <c r="I46" s="1">
        <v>600</v>
      </c>
      <c r="J46" s="1">
        <v>9000</v>
      </c>
      <c r="K46" s="1">
        <v>1200</v>
      </c>
      <c r="L46" s="3" t="s">
        <v>31</v>
      </c>
      <c r="M46" s="1">
        <v>4</v>
      </c>
    </row>
    <row r="47" spans="1:13" x14ac:dyDescent="0.3">
      <c r="A47" s="3" t="s">
        <v>141</v>
      </c>
      <c r="B47" s="5">
        <v>45761</v>
      </c>
      <c r="C47" s="3" t="s">
        <v>13</v>
      </c>
      <c r="D47" s="3" t="s">
        <v>142</v>
      </c>
      <c r="E47" s="3" t="s">
        <v>28</v>
      </c>
      <c r="F47" s="3" t="s">
        <v>60</v>
      </c>
      <c r="G47" s="3" t="s">
        <v>37</v>
      </c>
      <c r="H47" s="1">
        <v>5</v>
      </c>
      <c r="I47" s="1">
        <v>3000</v>
      </c>
      <c r="J47" s="1">
        <v>15000</v>
      </c>
      <c r="K47" s="1">
        <v>2200</v>
      </c>
      <c r="L47" s="3" t="s">
        <v>18</v>
      </c>
      <c r="M47" s="1">
        <v>5</v>
      </c>
    </row>
    <row r="48" spans="1:13" x14ac:dyDescent="0.3">
      <c r="A48" s="3" t="s">
        <v>143</v>
      </c>
      <c r="B48" s="5">
        <v>44590</v>
      </c>
      <c r="C48" s="3" t="s">
        <v>20</v>
      </c>
      <c r="D48" s="3" t="s">
        <v>144</v>
      </c>
      <c r="E48" s="3" t="s">
        <v>22</v>
      </c>
      <c r="F48" s="3" t="s">
        <v>16</v>
      </c>
      <c r="G48" s="3" t="s">
        <v>17</v>
      </c>
      <c r="H48" s="1">
        <v>1</v>
      </c>
      <c r="I48" s="1">
        <v>61000</v>
      </c>
      <c r="J48" s="1">
        <v>61000</v>
      </c>
      <c r="K48" s="1">
        <v>8900</v>
      </c>
      <c r="L48" s="3" t="s">
        <v>24</v>
      </c>
      <c r="M48" s="1">
        <v>5</v>
      </c>
    </row>
    <row r="49" spans="1:13" x14ac:dyDescent="0.3">
      <c r="A49" s="3" t="s">
        <v>145</v>
      </c>
      <c r="B49" s="5">
        <v>45177</v>
      </c>
      <c r="C49" s="3" t="s">
        <v>26</v>
      </c>
      <c r="D49" s="3" t="s">
        <v>146</v>
      </c>
      <c r="E49" s="3" t="s">
        <v>41</v>
      </c>
      <c r="F49" s="3" t="s">
        <v>29</v>
      </c>
      <c r="G49" s="3" t="s">
        <v>30</v>
      </c>
      <c r="H49" s="1">
        <v>2</v>
      </c>
      <c r="I49" s="1">
        <v>12800</v>
      </c>
      <c r="J49" s="1">
        <v>25600</v>
      </c>
      <c r="K49" s="1">
        <v>3600</v>
      </c>
      <c r="L49" s="3" t="s">
        <v>57</v>
      </c>
      <c r="M49" s="1">
        <v>4</v>
      </c>
    </row>
    <row r="50" spans="1:13" x14ac:dyDescent="0.3">
      <c r="A50" s="3" t="s">
        <v>147</v>
      </c>
      <c r="B50" s="5">
        <v>44357</v>
      </c>
      <c r="C50" s="3" t="s">
        <v>33</v>
      </c>
      <c r="D50" s="3" t="s">
        <v>148</v>
      </c>
      <c r="E50" s="3" t="s">
        <v>15</v>
      </c>
      <c r="F50" s="3" t="s">
        <v>63</v>
      </c>
      <c r="G50" s="3" t="s">
        <v>17</v>
      </c>
      <c r="H50" s="1">
        <v>3</v>
      </c>
      <c r="I50" s="1">
        <v>4900</v>
      </c>
      <c r="J50" s="1">
        <v>14700</v>
      </c>
      <c r="K50" s="1">
        <v>2100</v>
      </c>
      <c r="L50" s="3" t="s">
        <v>31</v>
      </c>
      <c r="M50" s="1">
        <v>3</v>
      </c>
    </row>
    <row r="51" spans="1:13" x14ac:dyDescent="0.3">
      <c r="A51" s="3" t="s">
        <v>149</v>
      </c>
      <c r="B51" s="5">
        <v>45657</v>
      </c>
      <c r="C51" s="3" t="s">
        <v>39</v>
      </c>
      <c r="D51" s="3" t="s">
        <v>150</v>
      </c>
      <c r="E51" s="3" t="s">
        <v>35</v>
      </c>
      <c r="F51" s="3" t="s">
        <v>23</v>
      </c>
      <c r="G51" s="3" t="s">
        <v>17</v>
      </c>
      <c r="H51" s="1">
        <v>2</v>
      </c>
      <c r="I51" s="1">
        <v>23500</v>
      </c>
      <c r="J51" s="1">
        <v>47000</v>
      </c>
      <c r="K51" s="1">
        <v>6800</v>
      </c>
      <c r="L51" s="3" t="s">
        <v>18</v>
      </c>
      <c r="M51" s="1">
        <v>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5819-2223-419B-B328-BEA5BDD75249}">
  <dimension ref="A1:X43"/>
  <sheetViews>
    <sheetView tabSelected="1" topLeftCell="A2" workbookViewId="0">
      <selection activeCell="W8" sqref="W8"/>
    </sheetView>
  </sheetViews>
  <sheetFormatPr defaultRowHeight="14.4" x14ac:dyDescent="0.3"/>
  <sheetData>
    <row r="1" spans="1:24" x14ac:dyDescent="0.3">
      <c r="A1" s="9"/>
      <c r="B1" s="9"/>
      <c r="C1" s="9"/>
      <c r="D1" s="9"/>
      <c r="E1" s="9"/>
      <c r="F1" s="9"/>
      <c r="G1" s="9"/>
      <c r="H1" s="9"/>
      <c r="I1" s="9"/>
      <c r="J1" s="9"/>
      <c r="K1" s="9"/>
      <c r="L1" s="9"/>
      <c r="M1" s="9"/>
      <c r="N1" s="9"/>
      <c r="O1" s="9"/>
      <c r="P1" s="9"/>
      <c r="Q1" s="9"/>
      <c r="R1" s="9"/>
      <c r="S1" s="9"/>
      <c r="T1" s="9"/>
      <c r="U1" s="9"/>
      <c r="V1" s="9"/>
      <c r="W1" s="9"/>
      <c r="X1" s="9"/>
    </row>
    <row r="2" spans="1:24" ht="21" x14ac:dyDescent="0.4">
      <c r="A2" s="10" t="s">
        <v>156</v>
      </c>
      <c r="B2" s="9"/>
      <c r="C2" s="9"/>
      <c r="D2" s="9"/>
      <c r="E2" s="9"/>
      <c r="F2" s="9"/>
      <c r="G2" s="9"/>
      <c r="H2" s="9"/>
      <c r="I2" s="9" t="s">
        <v>161</v>
      </c>
      <c r="J2" s="9"/>
      <c r="K2" s="9"/>
      <c r="L2" s="9"/>
      <c r="M2" s="9"/>
      <c r="N2" s="9"/>
      <c r="O2" s="9"/>
      <c r="P2" s="9"/>
      <c r="Q2" s="9"/>
      <c r="R2" s="9"/>
      <c r="S2" s="9"/>
      <c r="T2" s="9"/>
      <c r="U2" s="9"/>
      <c r="V2" s="9"/>
      <c r="W2" s="9"/>
      <c r="X2" s="9"/>
    </row>
    <row r="3" spans="1:24" x14ac:dyDescent="0.3">
      <c r="A3" s="9"/>
      <c r="B3" s="9"/>
      <c r="C3" s="9"/>
      <c r="D3" s="9"/>
      <c r="E3" s="9"/>
      <c r="F3" s="9"/>
      <c r="G3" s="9"/>
      <c r="H3" s="9"/>
      <c r="I3" s="9"/>
      <c r="J3" s="9"/>
      <c r="K3" s="9"/>
      <c r="L3" s="9"/>
      <c r="M3" s="9"/>
      <c r="N3" s="9"/>
      <c r="O3" s="9"/>
      <c r="P3" s="9"/>
      <c r="Q3" s="9"/>
      <c r="R3" s="9"/>
      <c r="S3" s="9"/>
      <c r="T3" s="9"/>
      <c r="U3" s="9"/>
      <c r="V3" s="9"/>
      <c r="W3" s="9"/>
      <c r="X3" s="9"/>
    </row>
    <row r="4" spans="1:24" x14ac:dyDescent="0.3">
      <c r="A4" s="9"/>
      <c r="B4" s="9"/>
      <c r="C4" s="9"/>
      <c r="D4" s="9"/>
      <c r="E4" s="9"/>
      <c r="F4" s="9"/>
      <c r="G4" s="9"/>
      <c r="H4" s="9"/>
      <c r="I4" s="9"/>
      <c r="J4" s="9"/>
      <c r="K4" s="9"/>
      <c r="L4" s="9"/>
      <c r="M4" s="9"/>
      <c r="N4" s="9"/>
      <c r="O4" s="9"/>
      <c r="P4" s="9"/>
      <c r="Q4" s="9"/>
      <c r="R4" s="9"/>
      <c r="S4" s="9"/>
      <c r="T4" s="9"/>
      <c r="U4" s="9"/>
      <c r="V4" s="9"/>
      <c r="W4" s="9"/>
      <c r="X4" s="9"/>
    </row>
    <row r="5" spans="1:24" x14ac:dyDescent="0.3">
      <c r="A5" s="9"/>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ht="21" x14ac:dyDescent="0.4">
      <c r="A9" s="10" t="s">
        <v>156</v>
      </c>
      <c r="B9" s="9"/>
      <c r="C9" s="9"/>
      <c r="D9" s="9"/>
      <c r="E9" s="9"/>
      <c r="F9" s="9"/>
      <c r="G9" s="9"/>
      <c r="H9" s="9"/>
      <c r="I9" s="9" t="s">
        <v>157</v>
      </c>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ht="21" x14ac:dyDescent="0.4">
      <c r="A16" s="10" t="s">
        <v>156</v>
      </c>
      <c r="B16" s="9"/>
      <c r="C16" s="9"/>
      <c r="D16" s="9"/>
      <c r="E16" s="9"/>
      <c r="F16" s="9"/>
      <c r="G16" s="9"/>
      <c r="H16" s="9"/>
      <c r="I16" s="9"/>
      <c r="J16" s="9" t="s">
        <v>158</v>
      </c>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ht="21" x14ac:dyDescent="0.4">
      <c r="A24" s="10" t="s">
        <v>156</v>
      </c>
      <c r="B24" s="9"/>
      <c r="C24" s="9"/>
      <c r="D24" s="9"/>
      <c r="E24" s="9"/>
      <c r="F24" s="9"/>
      <c r="G24" s="9"/>
      <c r="H24" s="9"/>
      <c r="I24" s="9" t="s">
        <v>159</v>
      </c>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row r="35" spans="1:24" x14ac:dyDescent="0.3">
      <c r="A35" s="9"/>
      <c r="B35" s="9"/>
      <c r="C35" s="9"/>
      <c r="D35" s="9"/>
      <c r="E35" s="9"/>
      <c r="F35" s="9"/>
      <c r="G35" s="9"/>
      <c r="H35" s="9"/>
      <c r="I35" s="9"/>
      <c r="J35" s="9"/>
      <c r="K35" s="9"/>
      <c r="L35" s="9"/>
      <c r="M35" s="9"/>
      <c r="N35" s="9"/>
      <c r="O35" s="9"/>
      <c r="P35" s="9"/>
      <c r="Q35" s="9"/>
      <c r="R35" s="9"/>
      <c r="S35" s="9"/>
      <c r="T35" s="9"/>
      <c r="U35" s="9"/>
      <c r="V35" s="9"/>
      <c r="W35" s="9"/>
      <c r="X35" s="9"/>
    </row>
    <row r="36" spans="1:24" x14ac:dyDescent="0.3">
      <c r="A36" s="9"/>
      <c r="B36" s="9"/>
      <c r="C36" s="9"/>
      <c r="D36" s="9"/>
      <c r="E36" s="9"/>
      <c r="F36" s="9"/>
      <c r="G36" s="9"/>
      <c r="H36" s="9"/>
      <c r="I36" s="9"/>
      <c r="J36" s="9"/>
      <c r="K36" s="9"/>
      <c r="L36" s="9"/>
      <c r="M36" s="9"/>
      <c r="N36" s="9"/>
      <c r="O36" s="9"/>
      <c r="P36" s="9"/>
      <c r="Q36" s="9"/>
      <c r="R36" s="9"/>
      <c r="S36" s="9"/>
      <c r="T36" s="9"/>
      <c r="U36" s="9"/>
      <c r="V36" s="9"/>
      <c r="W36" s="9"/>
      <c r="X36" s="9"/>
    </row>
    <row r="37" spans="1:24" x14ac:dyDescent="0.3">
      <c r="A37" s="9"/>
      <c r="B37" s="9"/>
      <c r="C37" s="9"/>
      <c r="D37" s="9"/>
      <c r="E37" s="9"/>
      <c r="F37" s="9"/>
      <c r="G37" s="9"/>
      <c r="H37" s="9"/>
      <c r="I37" s="9"/>
      <c r="J37" s="9"/>
      <c r="K37" s="9"/>
      <c r="L37" s="9"/>
      <c r="M37" s="9"/>
      <c r="N37" s="9"/>
      <c r="O37" s="9"/>
      <c r="P37" s="9"/>
      <c r="Q37" s="9"/>
      <c r="R37" s="9"/>
      <c r="S37" s="9"/>
      <c r="T37" s="9"/>
      <c r="U37" s="9"/>
      <c r="V37" s="9"/>
      <c r="W37" s="9"/>
      <c r="X37" s="9"/>
    </row>
    <row r="38" spans="1:24" x14ac:dyDescent="0.3">
      <c r="A38" s="9"/>
      <c r="B38" s="9"/>
      <c r="C38" s="9"/>
      <c r="D38" s="9"/>
      <c r="E38" s="9"/>
      <c r="F38" s="9"/>
      <c r="G38" s="9"/>
      <c r="H38" s="9"/>
      <c r="I38" s="9"/>
      <c r="J38" s="9"/>
      <c r="K38" s="9"/>
      <c r="L38" s="9"/>
      <c r="M38" s="9"/>
      <c r="N38" s="9"/>
      <c r="O38" s="9"/>
      <c r="P38" s="9"/>
      <c r="Q38" s="9"/>
      <c r="R38" s="9"/>
      <c r="S38" s="9"/>
      <c r="T38" s="9"/>
      <c r="U38" s="9"/>
      <c r="V38" s="9"/>
      <c r="W38" s="9"/>
      <c r="X38" s="9"/>
    </row>
    <row r="39" spans="1:24" x14ac:dyDescent="0.3">
      <c r="A39" s="9"/>
      <c r="B39" s="9"/>
      <c r="C39" s="9"/>
      <c r="D39" s="9"/>
      <c r="E39" s="9"/>
      <c r="F39" s="9"/>
      <c r="G39" s="9"/>
      <c r="H39" s="9"/>
      <c r="I39" s="9"/>
      <c r="J39" s="9"/>
      <c r="K39" s="9"/>
      <c r="L39" s="9"/>
      <c r="M39" s="9"/>
      <c r="N39" s="9"/>
      <c r="O39" s="9"/>
      <c r="P39" s="9"/>
      <c r="Q39" s="9"/>
      <c r="R39" s="9"/>
      <c r="S39" s="9"/>
      <c r="T39" s="9"/>
      <c r="U39" s="9"/>
      <c r="V39" s="9"/>
      <c r="W39" s="9"/>
      <c r="X39" s="9"/>
    </row>
    <row r="40" spans="1:24" x14ac:dyDescent="0.3">
      <c r="A40" s="9"/>
      <c r="B40" s="9"/>
      <c r="C40" s="9"/>
      <c r="D40" s="9"/>
      <c r="E40" s="9"/>
      <c r="F40" s="9"/>
      <c r="G40" s="9"/>
      <c r="H40" s="9"/>
      <c r="I40" s="9"/>
      <c r="J40" s="9"/>
      <c r="K40" s="9"/>
      <c r="L40" s="9"/>
      <c r="M40" s="9"/>
      <c r="N40" s="9"/>
      <c r="O40" s="9"/>
      <c r="P40" s="9"/>
      <c r="Q40" s="9"/>
      <c r="R40" s="9"/>
      <c r="S40" s="9"/>
      <c r="T40" s="9"/>
      <c r="U40" s="9"/>
      <c r="V40" s="9"/>
      <c r="W40" s="9"/>
      <c r="X40" s="9"/>
    </row>
    <row r="41" spans="1:24" x14ac:dyDescent="0.3">
      <c r="A41" s="9"/>
      <c r="B41" s="9"/>
      <c r="C41" s="9"/>
      <c r="D41" s="9"/>
      <c r="E41" s="9"/>
      <c r="F41" s="9"/>
      <c r="G41" s="9"/>
      <c r="H41" s="9"/>
      <c r="I41" s="9"/>
      <c r="J41" s="9"/>
      <c r="K41" s="9"/>
      <c r="L41" s="9"/>
      <c r="M41" s="9"/>
      <c r="N41" s="9"/>
      <c r="O41" s="9"/>
      <c r="P41" s="9"/>
      <c r="Q41" s="9"/>
      <c r="R41" s="9"/>
      <c r="S41" s="9"/>
      <c r="T41" s="9"/>
      <c r="U41" s="9"/>
      <c r="V41" s="9"/>
      <c r="W41" s="9"/>
      <c r="X41" s="9"/>
    </row>
    <row r="42" spans="1:24" x14ac:dyDescent="0.3">
      <c r="A42" s="9"/>
      <c r="B42" s="9"/>
      <c r="C42" s="9"/>
      <c r="D42" s="9"/>
      <c r="E42" s="9"/>
      <c r="F42" s="9"/>
      <c r="G42" s="9"/>
      <c r="H42" s="9"/>
      <c r="I42" s="9"/>
      <c r="J42" s="9"/>
      <c r="K42" s="9"/>
      <c r="L42" s="9"/>
      <c r="M42" s="9"/>
      <c r="N42" s="9"/>
      <c r="O42" s="9"/>
      <c r="P42" s="9"/>
      <c r="Q42" s="9"/>
      <c r="R42" s="9"/>
      <c r="S42" s="9"/>
      <c r="T42" s="9"/>
      <c r="U42" s="9"/>
      <c r="V42" s="9"/>
      <c r="W42" s="9"/>
      <c r="X42" s="9"/>
    </row>
    <row r="43" spans="1:24" x14ac:dyDescent="0.3">
      <c r="A43" s="9"/>
      <c r="B43" s="9"/>
      <c r="C43" s="9"/>
      <c r="D43" s="9"/>
      <c r="E43" s="9"/>
      <c r="F43" s="9"/>
      <c r="G43" s="9"/>
      <c r="H43" s="9"/>
      <c r="I43" s="9"/>
      <c r="J43" s="9"/>
      <c r="K43" s="9"/>
      <c r="L43" s="9"/>
      <c r="M43" s="9"/>
      <c r="N43" s="9"/>
      <c r="O43" s="9"/>
      <c r="P43" s="9"/>
      <c r="Q43" s="9"/>
      <c r="R43" s="9"/>
      <c r="S43" s="9"/>
      <c r="T43" s="9"/>
      <c r="U43" s="9"/>
      <c r="V43" s="9"/>
      <c r="W43" s="9"/>
      <c r="X4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rep</vt:lpstr>
      <vt:lpstr>profit trend</vt:lpstr>
      <vt:lpstr>top products</vt:lpstr>
      <vt:lpstr>payment mode</vt:lpstr>
      <vt:lpstr>rating</vt:lpstr>
      <vt:lpstr>customers</vt:lpstr>
      <vt:lpstr>revenue</vt:lpstr>
      <vt:lpstr>count customers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swathi.mcb7@gmail.com</dc:creator>
  <cp:lastModifiedBy>swathi.mcb7@gmail.com</cp:lastModifiedBy>
  <dcterms:created xsi:type="dcterms:W3CDTF">2026-07-04T09:41:10Z</dcterms:created>
  <dcterms:modified xsi:type="dcterms:W3CDTF">2026-08-05T17:29:16Z</dcterms:modified>
</cp:coreProperties>
</file>